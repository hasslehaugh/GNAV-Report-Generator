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ofr-my.sharepoint.com/personal/simon_haughey_urmc_rochester_edu/Documents/Documents/Report Projects/GNAV Report Generator/"/>
    </mc:Choice>
  </mc:AlternateContent>
  <xr:revisionPtr revIDLastSave="273" documentId="13_ncr:1_{AA6E3DD9-BB59-4A1E-8A80-00416BDE98FD}" xr6:coauthVersionLast="47" xr6:coauthVersionMax="47" xr10:uidLastSave="{C462CC6F-AE08-4C82-973D-B916C54A2BD7}"/>
  <bookViews>
    <workbookView xWindow="-120" yWindow="-120" windowWidth="29040" windowHeight="15720" activeTab="5" xr2:uid="{00000000-000D-0000-FFFF-FFFF00000000}"/>
  </bookViews>
  <sheets>
    <sheet name="Admin" sheetId="6" r:id="rId1"/>
    <sheet name="Huddle" sheetId="1" r:id="rId2"/>
    <sheet name="Generator" sheetId="2" r:id="rId3"/>
    <sheet name="Call Activity" sheetId="3" r:id="rId4"/>
    <sheet name="Agent Activity" sheetId="4" r:id="rId5"/>
    <sheet name="Sheet1" sheetId="5" r:id="rId6"/>
  </sheets>
  <definedNames>
    <definedName name="Dates">#REF!</definedName>
    <definedName name="Week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5" i="4" l="1"/>
  <c r="Q325" i="4"/>
  <c r="R325" i="4" a="1"/>
  <c r="R325" i="4" s="1"/>
  <c r="P326" i="4"/>
  <c r="Q326" i="4"/>
  <c r="R326" i="4" a="1"/>
  <c r="R326" i="4" s="1"/>
  <c r="P327" i="4"/>
  <c r="Q327" i="4"/>
  <c r="R327" i="4" a="1"/>
  <c r="R327" i="4" s="1"/>
  <c r="P328" i="4"/>
  <c r="Q328" i="4"/>
  <c r="R328" i="4" a="1"/>
  <c r="R328" i="4" s="1"/>
  <c r="P329" i="4"/>
  <c r="Q329" i="4"/>
  <c r="R329" i="4" a="1"/>
  <c r="R329" i="4" s="1"/>
  <c r="P330" i="4"/>
  <c r="Q330" i="4"/>
  <c r="R330" i="4" a="1"/>
  <c r="R330" i="4" s="1"/>
  <c r="P331" i="4"/>
  <c r="Q331" i="4"/>
  <c r="R331" i="4" a="1"/>
  <c r="R331" i="4" s="1"/>
  <c r="P332" i="4"/>
  <c r="Q332" i="4"/>
  <c r="R332" i="4" a="1"/>
  <c r="R332" i="4" s="1"/>
  <c r="P333" i="4"/>
  <c r="Q333" i="4"/>
  <c r="R333" i="4" a="1"/>
  <c r="R333" i="4" s="1"/>
  <c r="P334" i="4"/>
  <c r="Q334" i="4"/>
  <c r="R334" i="4" a="1"/>
  <c r="R334" i="4" s="1"/>
  <c r="P335" i="4"/>
  <c r="Q335" i="4"/>
  <c r="R335" i="4" a="1"/>
  <c r="R335" i="4" s="1"/>
  <c r="P336" i="4"/>
  <c r="Q336" i="4"/>
  <c r="R336" i="4" a="1"/>
  <c r="R336" i="4" s="1"/>
  <c r="P337" i="4"/>
  <c r="Q337" i="4"/>
  <c r="R337" i="4" a="1"/>
  <c r="R337" i="4" s="1"/>
  <c r="P338" i="4"/>
  <c r="Q338" i="4"/>
  <c r="R338" i="4" a="1"/>
  <c r="R338" i="4" s="1"/>
  <c r="P339" i="4"/>
  <c r="Q339" i="4"/>
  <c r="R339" i="4" a="1"/>
  <c r="R339" i="4" s="1"/>
  <c r="P340" i="4"/>
  <c r="Q340" i="4"/>
  <c r="R340" i="4" a="1"/>
  <c r="R340" i="4"/>
  <c r="P341" i="4"/>
  <c r="Q341" i="4"/>
  <c r="R341" i="4" a="1"/>
  <c r="R341" i="4" s="1"/>
  <c r="P342" i="4"/>
  <c r="Q342" i="4"/>
  <c r="R342" i="4" a="1"/>
  <c r="R342" i="4" s="1"/>
  <c r="P343" i="4"/>
  <c r="Q343" i="4"/>
  <c r="R343" i="4" a="1"/>
  <c r="R343" i="4" s="1"/>
  <c r="P344" i="4"/>
  <c r="Q344" i="4"/>
  <c r="R344" i="4" a="1"/>
  <c r="R344" i="4" s="1"/>
  <c r="P345" i="4"/>
  <c r="Q345" i="4"/>
  <c r="R345" i="4" a="1"/>
  <c r="R345" i="4" s="1"/>
  <c r="P346" i="4"/>
  <c r="Q346" i="4"/>
  <c r="R346" i="4" a="1"/>
  <c r="R346" i="4" s="1"/>
  <c r="P347" i="4"/>
  <c r="Q347" i="4"/>
  <c r="R347" i="4" a="1"/>
  <c r="R347" i="4" s="1"/>
  <c r="P348" i="4"/>
  <c r="Q348" i="4"/>
  <c r="R348" i="4" a="1"/>
  <c r="R348" i="4" s="1"/>
  <c r="P349" i="4"/>
  <c r="Q349" i="4"/>
  <c r="R349" i="4" a="1"/>
  <c r="R349" i="4" s="1"/>
  <c r="P350" i="4"/>
  <c r="Q350" i="4"/>
  <c r="R350" i="4" a="1"/>
  <c r="R350" i="4" s="1"/>
  <c r="P351" i="4"/>
  <c r="Q351" i="4"/>
  <c r="R351" i="4" a="1"/>
  <c r="R351" i="4" s="1"/>
  <c r="P352" i="4"/>
  <c r="Q352" i="4"/>
  <c r="R352" i="4" a="1"/>
  <c r="R352" i="4" s="1"/>
  <c r="P353" i="4"/>
  <c r="Q353" i="4"/>
  <c r="R353" i="4" a="1"/>
  <c r="R353" i="4" s="1"/>
  <c r="P354" i="4"/>
  <c r="Q354" i="4"/>
  <c r="R354" i="4" a="1"/>
  <c r="R354" i="4" s="1"/>
  <c r="P355" i="4"/>
  <c r="Q355" i="4"/>
  <c r="R355" i="4" a="1"/>
  <c r="R355" i="4" s="1"/>
  <c r="P356" i="4"/>
  <c r="Q356" i="4"/>
  <c r="R356" i="4" a="1"/>
  <c r="R356" i="4"/>
  <c r="P357" i="4"/>
  <c r="Q357" i="4"/>
  <c r="R357" i="4" a="1"/>
  <c r="R357" i="4" s="1"/>
  <c r="P358" i="4"/>
  <c r="Q358" i="4"/>
  <c r="R358" i="4" a="1"/>
  <c r="R358" i="4" s="1"/>
  <c r="P359" i="4"/>
  <c r="Q359" i="4"/>
  <c r="R359" i="4" a="1"/>
  <c r="R359" i="4" s="1"/>
  <c r="P360" i="4"/>
  <c r="Q360" i="4"/>
  <c r="R360" i="4" a="1"/>
  <c r="R360" i="4" s="1"/>
  <c r="P361" i="4"/>
  <c r="Q361" i="4"/>
  <c r="R361" i="4" a="1"/>
  <c r="R361" i="4" s="1"/>
  <c r="P324" i="4"/>
  <c r="Q324" i="4"/>
  <c r="R324" i="4" a="1"/>
  <c r="R324" i="4" s="1"/>
  <c r="Q56" i="3" l="1"/>
  <c r="P56" i="3"/>
  <c r="Q55" i="3"/>
  <c r="P55" i="3"/>
  <c r="R286" i="4" l="1" a="1"/>
  <c r="R286" i="4" s="1"/>
  <c r="R287" i="4" a="1"/>
  <c r="R287" i="4" s="1"/>
  <c r="R288" i="4" a="1"/>
  <c r="R288" i="4" s="1"/>
  <c r="R289" i="4" a="1"/>
  <c r="R289" i="4" s="1"/>
  <c r="R290" i="4" a="1"/>
  <c r="R290" i="4" s="1"/>
  <c r="R291" i="4" a="1"/>
  <c r="R291" i="4" s="1"/>
  <c r="R292" i="4" a="1"/>
  <c r="R292" i="4" s="1"/>
  <c r="R293" i="4" a="1"/>
  <c r="R293" i="4" s="1"/>
  <c r="R294" i="4" a="1"/>
  <c r="R294" i="4" s="1"/>
  <c r="R295" i="4" a="1"/>
  <c r="R295" i="4" s="1"/>
  <c r="R296" i="4" a="1"/>
  <c r="R296" i="4" s="1"/>
  <c r="R297" i="4" a="1"/>
  <c r="R297" i="4" s="1"/>
  <c r="R298" i="4" a="1"/>
  <c r="R298" i="4" s="1"/>
  <c r="R299" i="4" a="1"/>
  <c r="R299" i="4" s="1"/>
  <c r="R300" i="4" a="1"/>
  <c r="R300" i="4" s="1"/>
  <c r="R301" i="4" a="1"/>
  <c r="R301" i="4" s="1"/>
  <c r="R302" i="4" a="1"/>
  <c r="R302" i="4" s="1"/>
  <c r="R303" i="4" a="1"/>
  <c r="R303" i="4" s="1"/>
  <c r="R304" i="4" a="1"/>
  <c r="R304" i="4" s="1"/>
  <c r="R305" i="4" a="1"/>
  <c r="R305" i="4" s="1"/>
  <c r="R306" i="4" a="1"/>
  <c r="R306" i="4" s="1"/>
  <c r="R307" i="4" a="1"/>
  <c r="R307" i="4" s="1"/>
  <c r="R308" i="4" a="1"/>
  <c r="R308" i="4" s="1"/>
  <c r="R309" i="4" a="1"/>
  <c r="R309" i="4" s="1"/>
  <c r="R310" i="4" a="1"/>
  <c r="R310" i="4" s="1"/>
  <c r="R311" i="4" a="1"/>
  <c r="R311" i="4" s="1"/>
  <c r="R312" i="4" a="1"/>
  <c r="R312" i="4" s="1"/>
  <c r="R313" i="4" a="1"/>
  <c r="R313" i="4" s="1"/>
  <c r="R314" i="4" a="1"/>
  <c r="R314" i="4" s="1"/>
  <c r="R315" i="4" a="1"/>
  <c r="R315" i="4" s="1"/>
  <c r="R316" i="4" a="1"/>
  <c r="R316" i="4" s="1"/>
  <c r="R317" i="4" a="1"/>
  <c r="R317" i="4" s="1"/>
  <c r="R318" i="4" a="1"/>
  <c r="R318" i="4" s="1"/>
  <c r="R319" i="4" a="1"/>
  <c r="R319" i="4" s="1"/>
  <c r="R320" i="4" a="1"/>
  <c r="R320" i="4" s="1"/>
  <c r="R321" i="4" a="1"/>
  <c r="R321" i="4" s="1"/>
  <c r="R322" i="4" a="1"/>
  <c r="R322" i="4" s="1"/>
  <c r="R323" i="4" a="1"/>
  <c r="R323" i="4" s="1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R285" i="4" a="1"/>
  <c r="R285" i="4" s="1"/>
  <c r="R243" i="4" a="1"/>
  <c r="R243" i="4" s="1"/>
  <c r="R244" i="4" a="1"/>
  <c r="R244" i="4" s="1"/>
  <c r="R245" i="4" a="1"/>
  <c r="R245" i="4" s="1"/>
  <c r="R246" i="4" a="1"/>
  <c r="R246" i="4" s="1"/>
  <c r="R247" i="4" a="1"/>
  <c r="R247" i="4" s="1"/>
  <c r="R248" i="4" a="1"/>
  <c r="R248" i="4" s="1"/>
  <c r="R249" i="4" a="1"/>
  <c r="R249" i="4" s="1"/>
  <c r="R250" i="4" a="1"/>
  <c r="R250" i="4" s="1"/>
  <c r="R251" i="4" a="1"/>
  <c r="R251" i="4" s="1"/>
  <c r="R252" i="4" a="1"/>
  <c r="R252" i="4" s="1"/>
  <c r="R253" i="4" a="1"/>
  <c r="R253" i="4" s="1"/>
  <c r="R254" i="4" a="1"/>
  <c r="R254" i="4" s="1"/>
  <c r="R255" i="4" a="1"/>
  <c r="R255" i="4" s="1"/>
  <c r="R256" i="4" a="1"/>
  <c r="R256" i="4" s="1"/>
  <c r="R257" i="4" a="1"/>
  <c r="R257" i="4" s="1"/>
  <c r="R258" i="4" a="1"/>
  <c r="R258" i="4" s="1"/>
  <c r="R259" i="4" a="1"/>
  <c r="R259" i="4" s="1"/>
  <c r="R260" i="4" a="1"/>
  <c r="R260" i="4" s="1"/>
  <c r="R261" i="4" a="1"/>
  <c r="R261" i="4" s="1"/>
  <c r="R262" i="4" a="1"/>
  <c r="R262" i="4" s="1"/>
  <c r="R263" i="4" a="1"/>
  <c r="R263" i="4" s="1"/>
  <c r="R264" i="4" a="1"/>
  <c r="R264" i="4" s="1"/>
  <c r="R265" i="4" a="1"/>
  <c r="R265" i="4" s="1"/>
  <c r="R266" i="4" a="1"/>
  <c r="R266" i="4" s="1"/>
  <c r="R267" i="4" a="1"/>
  <c r="R267" i="4" s="1"/>
  <c r="R268" i="4" a="1"/>
  <c r="R268" i="4" s="1"/>
  <c r="R269" i="4" a="1"/>
  <c r="R269" i="4" s="1"/>
  <c r="R270" i="4" a="1"/>
  <c r="R270" i="4" s="1"/>
  <c r="R271" i="4" a="1"/>
  <c r="R271" i="4" s="1"/>
  <c r="R272" i="4" a="1"/>
  <c r="R272" i="4" s="1"/>
  <c r="R273" i="4" a="1"/>
  <c r="R273" i="4" s="1"/>
  <c r="R274" i="4" a="1"/>
  <c r="R274" i="4" s="1"/>
  <c r="R275" i="4" a="1"/>
  <c r="R275" i="4" s="1"/>
  <c r="R276" i="4" a="1"/>
  <c r="R276" i="4" s="1"/>
  <c r="R277" i="4" a="1"/>
  <c r="R277" i="4" s="1"/>
  <c r="R278" i="4" a="1"/>
  <c r="R278" i="4" s="1"/>
  <c r="R279" i="4" a="1"/>
  <c r="R279" i="4" s="1"/>
  <c r="R280" i="4" a="1"/>
  <c r="R280" i="4" s="1"/>
  <c r="R281" i="4" a="1"/>
  <c r="R281" i="4" s="1"/>
  <c r="R282" i="4" a="1"/>
  <c r="R282" i="4" s="1"/>
  <c r="R283" i="4" a="1"/>
  <c r="R283" i="4" s="1"/>
  <c r="R284" i="4" a="1"/>
  <c r="R284" i="4" s="1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Q242" i="4"/>
  <c r="Q243" i="4"/>
  <c r="Q244" i="4"/>
  <c r="Q245" i="4"/>
  <c r="Q246" i="4"/>
  <c r="P242" i="4"/>
  <c r="P243" i="4"/>
  <c r="P244" i="4"/>
  <c r="P245" i="4"/>
  <c r="P246" i="4"/>
  <c r="G26" i="1" l="1"/>
  <c r="C26" i="1" a="1"/>
  <c r="C26" i="1" s="1"/>
  <c r="G25" i="1"/>
  <c r="C25" i="1" a="1"/>
  <c r="C25" i="1" s="1"/>
  <c r="G24" i="1"/>
  <c r="C24" i="1" a="1"/>
  <c r="C24" i="1" s="1"/>
  <c r="G23" i="1"/>
  <c r="C23" i="1" a="1"/>
  <c r="C23" i="1" s="1"/>
  <c r="G22" i="1"/>
  <c r="C22" i="1" a="1"/>
  <c r="C22" i="1" s="1"/>
  <c r="G21" i="1"/>
  <c r="C21" i="1" a="1"/>
  <c r="C21" i="1" s="1"/>
  <c r="G20" i="1"/>
  <c r="C20" i="1" a="1"/>
  <c r="C20" i="1" s="1"/>
  <c r="G19" i="1"/>
  <c r="C19" i="1" a="1"/>
  <c r="C19" i="1" s="1"/>
  <c r="C8" i="1"/>
  <c r="B36" i="1" s="1"/>
  <c r="G5" i="1"/>
  <c r="F33" i="1" s="1"/>
  <c r="C5" i="1"/>
  <c r="B33" i="1" s="1"/>
  <c r="G4" i="1"/>
  <c r="F32" i="1" s="1"/>
  <c r="C4" i="1"/>
  <c r="B32" i="1" s="1"/>
  <c r="C3" i="1"/>
  <c r="AC2" i="1" a="1"/>
  <c r="AC2" i="1" s="1"/>
  <c r="X1" i="1" a="1"/>
  <c r="X1" i="1" s="1"/>
  <c r="G9" i="1" s="1"/>
  <c r="F37" i="1" s="1"/>
  <c r="W1" i="1" a="1"/>
  <c r="W1" i="1" s="1"/>
  <c r="G8" i="1" s="1"/>
  <c r="F36" i="1" s="1"/>
  <c r="V1" i="1" a="1"/>
  <c r="V1" i="1" s="1"/>
  <c r="C9" i="1" s="1"/>
  <c r="B37" i="1" s="1"/>
  <c r="Q1" i="1" a="1"/>
  <c r="Q1" i="1" s="1"/>
  <c r="F54" i="1"/>
  <c r="B54" i="1"/>
  <c r="F53" i="1"/>
  <c r="B53" i="1"/>
  <c r="F52" i="1"/>
  <c r="B52" i="1"/>
  <c r="F51" i="1"/>
  <c r="B51" i="1"/>
  <c r="F50" i="1"/>
  <c r="B50" i="1"/>
  <c r="F49" i="1"/>
  <c r="B49" i="1"/>
  <c r="F48" i="1"/>
  <c r="B48" i="1"/>
  <c r="F47" i="1"/>
  <c r="B47" i="1"/>
  <c r="F38" i="1"/>
  <c r="B38" i="1"/>
  <c r="F35" i="1"/>
  <c r="B35" i="1"/>
  <c r="AI26" i="1"/>
  <c r="AB26" i="1"/>
  <c r="AI25" i="1"/>
  <c r="AB25" i="1"/>
  <c r="AI24" i="1"/>
  <c r="AB24" i="1"/>
  <c r="AI23" i="1"/>
  <c r="AB23" i="1"/>
  <c r="AI22" i="1"/>
  <c r="AB22" i="1"/>
  <c r="AI21" i="1"/>
  <c r="AB21" i="1"/>
  <c r="AI20" i="1"/>
  <c r="AB20" i="1"/>
  <c r="AI19" i="1"/>
  <c r="AB19" i="1"/>
  <c r="AI18" i="1"/>
  <c r="AB18" i="1"/>
  <c r="AI17" i="1"/>
  <c r="AB17" i="1"/>
  <c r="AI16" i="1"/>
  <c r="AB16" i="1"/>
  <c r="AI15" i="1"/>
  <c r="AB15" i="1"/>
  <c r="AI14" i="1"/>
  <c r="AB14" i="1"/>
  <c r="AI13" i="1"/>
  <c r="AB13" i="1"/>
  <c r="AI12" i="1"/>
  <c r="AB12" i="1"/>
  <c r="AI11" i="1"/>
  <c r="AI9" i="1"/>
  <c r="AI8" i="1"/>
  <c r="AJ2" i="1" a="1"/>
  <c r="AI10" i="1" s="1"/>
  <c r="AF2" i="1" a="1"/>
  <c r="AF2" i="1" s="1"/>
  <c r="AE1" i="1" a="1"/>
  <c r="AE1" i="1" s="1"/>
  <c r="AD1" i="1" a="1"/>
  <c r="AD1" i="1" s="1"/>
  <c r="AG2" i="1" s="1" a="1"/>
  <c r="AG2" i="1" s="1"/>
  <c r="P1" i="1"/>
  <c r="P2" i="1" s="1"/>
  <c r="O1" i="1"/>
  <c r="AB11" i="1" l="1"/>
  <c r="AB5" i="1"/>
  <c r="AB10" i="1"/>
  <c r="S1" i="1" a="1"/>
  <c r="S1" i="1" s="1"/>
  <c r="C6" i="1"/>
  <c r="B34" i="1" s="1"/>
  <c r="AB2" i="1"/>
  <c r="AB8" i="1"/>
  <c r="AB9" i="1"/>
  <c r="AB4" i="1"/>
  <c r="AI4" i="1"/>
  <c r="AB6" i="1"/>
  <c r="B31" i="1"/>
  <c r="AB3" i="1"/>
  <c r="AI3" i="1"/>
  <c r="AI6" i="1"/>
  <c r="O2" i="1"/>
  <c r="AB7" i="1"/>
  <c r="AI5" i="1"/>
  <c r="AI7" i="1"/>
  <c r="AJ2" i="1"/>
  <c r="AI2" i="1" s="1"/>
  <c r="R242" i="4" l="1" a="1"/>
  <c r="R242" i="4" s="1"/>
  <c r="R241" i="4" a="1"/>
  <c r="R241" i="4" s="1"/>
  <c r="Q241" i="4"/>
  <c r="P241" i="4"/>
  <c r="R240" i="4" a="1"/>
  <c r="R240" i="4" s="1"/>
  <c r="Q240" i="4"/>
  <c r="P240" i="4"/>
  <c r="R239" i="4" a="1"/>
  <c r="R239" i="4" s="1"/>
  <c r="Q239" i="4"/>
  <c r="P239" i="4"/>
  <c r="R238" i="4" a="1"/>
  <c r="R238" i="4" s="1"/>
  <c r="Q238" i="4"/>
  <c r="P238" i="4"/>
  <c r="R237" i="4" a="1"/>
  <c r="R237" i="4" s="1"/>
  <c r="Q237" i="4"/>
  <c r="P237" i="4"/>
  <c r="R236" i="4" a="1"/>
  <c r="R236" i="4" s="1"/>
  <c r="Q236" i="4"/>
  <c r="P236" i="4"/>
  <c r="R235" i="4" a="1"/>
  <c r="R235" i="4" s="1"/>
  <c r="Q235" i="4"/>
  <c r="P235" i="4"/>
  <c r="R234" i="4" a="1"/>
  <c r="R234" i="4" s="1"/>
  <c r="Q234" i="4"/>
  <c r="P234" i="4"/>
  <c r="R233" i="4" a="1"/>
  <c r="R233" i="4" s="1"/>
  <c r="Q233" i="4"/>
  <c r="P233" i="4"/>
  <c r="R232" i="4" a="1"/>
  <c r="R232" i="4" s="1"/>
  <c r="Q232" i="4"/>
  <c r="P232" i="4"/>
  <c r="R231" i="4" a="1"/>
  <c r="R231" i="4" s="1"/>
  <c r="Q231" i="4"/>
  <c r="P231" i="4"/>
  <c r="R230" i="4" a="1"/>
  <c r="R230" i="4" s="1"/>
  <c r="Q230" i="4"/>
  <c r="P230" i="4"/>
  <c r="R229" i="4" a="1"/>
  <c r="R229" i="4" s="1"/>
  <c r="Q229" i="4"/>
  <c r="P229" i="4"/>
  <c r="R228" i="4" a="1"/>
  <c r="R228" i="4" s="1"/>
  <c r="Q228" i="4"/>
  <c r="P228" i="4"/>
  <c r="R227" i="4" a="1"/>
  <c r="R227" i="4" s="1"/>
  <c r="Q227" i="4"/>
  <c r="P227" i="4"/>
  <c r="R226" i="4" a="1"/>
  <c r="R226" i="4" s="1"/>
  <c r="Q226" i="4"/>
  <c r="P226" i="4"/>
  <c r="R225" i="4" a="1"/>
  <c r="R225" i="4" s="1"/>
  <c r="Q225" i="4"/>
  <c r="P225" i="4"/>
  <c r="R224" i="4" a="1"/>
  <c r="R224" i="4" s="1"/>
  <c r="Q224" i="4"/>
  <c r="P224" i="4"/>
  <c r="R223" i="4" a="1"/>
  <c r="R223" i="4" s="1"/>
  <c r="Q223" i="4"/>
  <c r="P223" i="4"/>
  <c r="R222" i="4" a="1"/>
  <c r="R222" i="4" s="1"/>
  <c r="Q222" i="4"/>
  <c r="P222" i="4"/>
  <c r="R221" i="4" a="1"/>
  <c r="R221" i="4" s="1"/>
  <c r="Q221" i="4"/>
  <c r="P221" i="4"/>
  <c r="R220" i="4" a="1"/>
  <c r="R220" i="4" s="1"/>
  <c r="Q220" i="4"/>
  <c r="P220" i="4"/>
  <c r="R219" i="4" a="1"/>
  <c r="R219" i="4" s="1"/>
  <c r="Q219" i="4"/>
  <c r="P219" i="4"/>
  <c r="R218" i="4" a="1"/>
  <c r="R218" i="4" s="1"/>
  <c r="Q218" i="4"/>
  <c r="P218" i="4"/>
  <c r="R217" i="4" a="1"/>
  <c r="R217" i="4" s="1"/>
  <c r="Q217" i="4"/>
  <c r="P217" i="4"/>
  <c r="R216" i="4" a="1"/>
  <c r="R216" i="4" s="1"/>
  <c r="Q216" i="4"/>
  <c r="P216" i="4"/>
  <c r="R215" i="4" a="1"/>
  <c r="R215" i="4" s="1"/>
  <c r="Q215" i="4"/>
  <c r="P215" i="4"/>
  <c r="R214" i="4" a="1"/>
  <c r="R214" i="4" s="1"/>
  <c r="Q214" i="4"/>
  <c r="P214" i="4"/>
  <c r="R213" i="4" a="1"/>
  <c r="R213" i="4" s="1"/>
  <c r="Q213" i="4"/>
  <c r="P213" i="4"/>
  <c r="R212" i="4" a="1"/>
  <c r="R212" i="4" s="1"/>
  <c r="Q212" i="4"/>
  <c r="P212" i="4"/>
  <c r="R211" i="4" a="1"/>
  <c r="R211" i="4" s="1"/>
  <c r="Q211" i="4"/>
  <c r="P211" i="4"/>
  <c r="R210" i="4" a="1"/>
  <c r="R210" i="4" s="1"/>
  <c r="Q210" i="4"/>
  <c r="P210" i="4"/>
  <c r="R209" i="4" a="1"/>
  <c r="R209" i="4" s="1"/>
  <c r="Q209" i="4"/>
  <c r="P209" i="4"/>
  <c r="R208" i="4" a="1"/>
  <c r="R208" i="4" s="1"/>
  <c r="Q208" i="4"/>
  <c r="P208" i="4"/>
  <c r="R207" i="4" a="1"/>
  <c r="R207" i="4" s="1"/>
  <c r="Q207" i="4"/>
  <c r="P207" i="4"/>
  <c r="R206" i="4" a="1"/>
  <c r="R206" i="4" s="1"/>
  <c r="Q206" i="4"/>
  <c r="P206" i="4"/>
  <c r="R205" i="4" a="1"/>
  <c r="R205" i="4" s="1"/>
  <c r="Q205" i="4"/>
  <c r="P205" i="4"/>
  <c r="R204" i="4" a="1"/>
  <c r="R204" i="4" s="1"/>
  <c r="Q204" i="4"/>
  <c r="P204" i="4"/>
  <c r="R203" i="4" a="1"/>
  <c r="R203" i="4" s="1"/>
  <c r="Q203" i="4"/>
  <c r="P203" i="4"/>
  <c r="R202" i="4" a="1"/>
  <c r="R202" i="4" s="1"/>
  <c r="Q202" i="4"/>
  <c r="P202" i="4"/>
  <c r="R201" i="4" a="1"/>
  <c r="R201" i="4" s="1"/>
  <c r="Q201" i="4"/>
  <c r="P201" i="4"/>
  <c r="R200" i="4" a="1"/>
  <c r="R200" i="4" s="1"/>
  <c r="Q200" i="4"/>
  <c r="P200" i="4"/>
  <c r="R199" i="4" a="1"/>
  <c r="R199" i="4" s="1"/>
  <c r="Q199" i="4"/>
  <c r="P199" i="4"/>
  <c r="R198" i="4" a="1"/>
  <c r="R198" i="4" s="1"/>
  <c r="Q198" i="4"/>
  <c r="P198" i="4"/>
  <c r="R197" i="4" a="1"/>
  <c r="R197" i="4" s="1"/>
  <c r="Q197" i="4"/>
  <c r="P197" i="4"/>
  <c r="R196" i="4" a="1"/>
  <c r="R196" i="4" s="1"/>
  <c r="Q196" i="4"/>
  <c r="P196" i="4"/>
  <c r="R195" i="4" a="1"/>
  <c r="R195" i="4" s="1"/>
  <c r="Q195" i="4"/>
  <c r="P195" i="4"/>
  <c r="R194" i="4" a="1"/>
  <c r="R194" i="4" s="1"/>
  <c r="Q194" i="4"/>
  <c r="P194" i="4"/>
  <c r="R193" i="4" a="1"/>
  <c r="R193" i="4" s="1"/>
  <c r="Q193" i="4"/>
  <c r="P193" i="4"/>
  <c r="R192" i="4" a="1"/>
  <c r="R192" i="4" s="1"/>
  <c r="Q192" i="4"/>
  <c r="P192" i="4"/>
  <c r="R191" i="4" a="1"/>
  <c r="R191" i="4" s="1"/>
  <c r="Q191" i="4"/>
  <c r="P191" i="4"/>
  <c r="R190" i="4" a="1"/>
  <c r="R190" i="4" s="1"/>
  <c r="Q190" i="4"/>
  <c r="P190" i="4"/>
  <c r="R189" i="4" a="1"/>
  <c r="R189" i="4" s="1"/>
  <c r="Q189" i="4"/>
  <c r="P189" i="4"/>
  <c r="R188" i="4" a="1"/>
  <c r="R188" i="4" s="1"/>
  <c r="Q188" i="4"/>
  <c r="P188" i="4"/>
  <c r="R187" i="4" a="1"/>
  <c r="R187" i="4" s="1"/>
  <c r="Q187" i="4"/>
  <c r="P187" i="4"/>
  <c r="R186" i="4" a="1"/>
  <c r="R186" i="4" s="1"/>
  <c r="Q186" i="4"/>
  <c r="P186" i="4"/>
  <c r="R185" i="4" a="1"/>
  <c r="R185" i="4" s="1"/>
  <c r="Q185" i="4"/>
  <c r="P185" i="4"/>
  <c r="R184" i="4" a="1"/>
  <c r="R184" i="4" s="1"/>
  <c r="Q184" i="4"/>
  <c r="P184" i="4"/>
  <c r="R183" i="4" a="1"/>
  <c r="R183" i="4" s="1"/>
  <c r="Q183" i="4"/>
  <c r="P183" i="4"/>
  <c r="R182" i="4" a="1"/>
  <c r="R182" i="4" s="1"/>
  <c r="Q182" i="4"/>
  <c r="P182" i="4"/>
  <c r="R181" i="4" a="1"/>
  <c r="R181" i="4" s="1"/>
  <c r="Q181" i="4"/>
  <c r="P181" i="4"/>
  <c r="R180" i="4" a="1"/>
  <c r="R180" i="4" s="1"/>
  <c r="Q180" i="4"/>
  <c r="P180" i="4"/>
  <c r="R179" i="4" a="1"/>
  <c r="R179" i="4" s="1"/>
  <c r="Q179" i="4"/>
  <c r="P179" i="4"/>
  <c r="R178" i="4" a="1"/>
  <c r="R178" i="4" s="1"/>
  <c r="Q178" i="4"/>
  <c r="P178" i="4"/>
  <c r="R177" i="4" a="1"/>
  <c r="R177" i="4" s="1"/>
  <c r="Q177" i="4"/>
  <c r="P177" i="4"/>
  <c r="R176" i="4" a="1"/>
  <c r="R176" i="4" s="1"/>
  <c r="Q176" i="4"/>
  <c r="P176" i="4"/>
  <c r="R175" i="4" a="1"/>
  <c r="R175" i="4" s="1"/>
  <c r="Q175" i="4"/>
  <c r="P175" i="4"/>
  <c r="R174" i="4" a="1"/>
  <c r="R174" i="4" s="1"/>
  <c r="Q174" i="4"/>
  <c r="P174" i="4"/>
  <c r="R173" i="4" a="1"/>
  <c r="R173" i="4" s="1"/>
  <c r="Q173" i="4"/>
  <c r="P173" i="4"/>
  <c r="R172" i="4" a="1"/>
  <c r="R172" i="4" s="1"/>
  <c r="R171" i="4" a="1"/>
  <c r="R171" i="4" s="1"/>
  <c r="R170" i="4" a="1"/>
  <c r="R170" i="4" s="1"/>
  <c r="R169" i="4" a="1"/>
  <c r="R169" i="4" s="1"/>
  <c r="R168" i="4" a="1"/>
  <c r="R168" i="4" s="1"/>
  <c r="R167" i="4" a="1"/>
  <c r="R167" i="4" s="1"/>
  <c r="R166" i="4" a="1"/>
  <c r="R166" i="4" s="1"/>
  <c r="R165" i="4" a="1"/>
  <c r="R165" i="4" s="1"/>
  <c r="R164" i="4" a="1"/>
  <c r="R164" i="4" s="1"/>
  <c r="R163" i="4" a="1"/>
  <c r="R163" i="4" s="1"/>
  <c r="R162" i="4" a="1"/>
  <c r="R162" i="4" s="1"/>
  <c r="R161" i="4" a="1"/>
  <c r="R161" i="4" s="1"/>
  <c r="R160" i="4" a="1"/>
  <c r="R160" i="4" s="1"/>
  <c r="R159" i="4" a="1"/>
  <c r="R159" i="4" s="1"/>
  <c r="R158" i="4" a="1"/>
  <c r="R158" i="4" s="1"/>
  <c r="R157" i="4" a="1"/>
  <c r="R157" i="4" s="1"/>
  <c r="R156" i="4" a="1"/>
  <c r="R156" i="4" s="1"/>
  <c r="R155" i="4" a="1"/>
  <c r="R155" i="4" s="1"/>
  <c r="R154" i="4" a="1"/>
  <c r="R154" i="4" s="1"/>
  <c r="R153" i="4" a="1"/>
  <c r="R153" i="4" s="1"/>
  <c r="R152" i="4" a="1"/>
  <c r="R152" i="4" s="1"/>
  <c r="R151" i="4" a="1"/>
  <c r="R151" i="4" s="1"/>
  <c r="R150" i="4" a="1"/>
  <c r="R150" i="4" s="1"/>
  <c r="R149" i="4" a="1"/>
  <c r="R149" i="4" s="1"/>
  <c r="R148" i="4" a="1"/>
  <c r="R148" i="4" s="1"/>
  <c r="R147" i="4" a="1"/>
  <c r="R147" i="4" s="1"/>
  <c r="R146" i="4" a="1"/>
  <c r="R146" i="4" s="1"/>
  <c r="R145" i="4" a="1"/>
  <c r="R145" i="4" s="1"/>
  <c r="R144" i="4" a="1"/>
  <c r="R144" i="4" s="1"/>
  <c r="R143" i="4" a="1"/>
  <c r="R143" i="4" s="1"/>
  <c r="R142" i="4" a="1"/>
  <c r="R142" i="4" s="1"/>
  <c r="R141" i="4" a="1"/>
  <c r="R141" i="4" s="1"/>
  <c r="R140" i="4" a="1"/>
  <c r="R140" i="4" s="1"/>
  <c r="R139" i="4" a="1"/>
  <c r="R139" i="4" s="1"/>
  <c r="R138" i="4" a="1"/>
  <c r="R138" i="4" s="1"/>
  <c r="R137" i="4" a="1"/>
  <c r="R137" i="4" s="1"/>
  <c r="R136" i="4" a="1"/>
  <c r="R136" i="4" s="1"/>
  <c r="R135" i="4" a="1"/>
  <c r="R135" i="4" s="1"/>
  <c r="R134" i="4" a="1"/>
  <c r="R134" i="4" s="1"/>
  <c r="R133" i="4" a="1"/>
  <c r="R133" i="4" s="1"/>
  <c r="R132" i="4" a="1"/>
  <c r="R132" i="4" s="1"/>
  <c r="R131" i="4" a="1"/>
  <c r="R131" i="4" s="1"/>
  <c r="R130" i="4" a="1"/>
  <c r="R130" i="4" s="1"/>
  <c r="R129" i="4" a="1"/>
  <c r="R129" i="4" s="1"/>
  <c r="R128" i="4" a="1"/>
  <c r="R128" i="4" s="1"/>
  <c r="R127" i="4" a="1"/>
  <c r="R127" i="4" s="1"/>
  <c r="R126" i="4" a="1"/>
  <c r="R126" i="4" s="1"/>
  <c r="R125" i="4" a="1"/>
  <c r="R125" i="4" s="1"/>
  <c r="R124" i="4" a="1"/>
  <c r="R124" i="4" s="1"/>
  <c r="R123" i="4" a="1"/>
  <c r="R123" i="4" s="1"/>
  <c r="R122" i="4" a="1"/>
  <c r="R122" i="4" s="1"/>
  <c r="R121" i="4" a="1"/>
  <c r="R121" i="4" s="1"/>
  <c r="R120" i="4" a="1"/>
  <c r="R120" i="4" s="1"/>
  <c r="R119" i="4" a="1"/>
  <c r="R119" i="4" s="1"/>
  <c r="R118" i="4" a="1"/>
  <c r="R118" i="4" s="1"/>
  <c r="R117" i="4" a="1"/>
  <c r="R117" i="4" s="1"/>
  <c r="R116" i="4" a="1"/>
  <c r="R116" i="4" s="1"/>
  <c r="R115" i="4" a="1"/>
  <c r="R115" i="4" s="1"/>
  <c r="R114" i="4" a="1"/>
  <c r="R114" i="4" s="1"/>
  <c r="R113" i="4" a="1"/>
  <c r="R113" i="4" s="1"/>
  <c r="R112" i="4" a="1"/>
  <c r="R112" i="4" s="1"/>
  <c r="R111" i="4" a="1"/>
  <c r="R111" i="4" s="1"/>
  <c r="R110" i="4" a="1"/>
  <c r="R110" i="4" s="1"/>
  <c r="R109" i="4" a="1"/>
  <c r="R109" i="4" s="1"/>
  <c r="R108" i="4" a="1"/>
  <c r="R108" i="4" s="1"/>
  <c r="R107" i="4" a="1"/>
  <c r="R107" i="4" s="1"/>
  <c r="R106" i="4" a="1"/>
  <c r="R106" i="4" s="1"/>
  <c r="R105" i="4" a="1"/>
  <c r="R105" i="4" s="1"/>
  <c r="R104" i="4" a="1"/>
  <c r="R104" i="4" s="1"/>
  <c r="R103" i="4" a="1"/>
  <c r="R103" i="4" s="1"/>
  <c r="R102" i="4" a="1"/>
  <c r="R102" i="4" s="1"/>
  <c r="R101" i="4" a="1"/>
  <c r="R101" i="4" s="1"/>
  <c r="R100" i="4" a="1"/>
  <c r="R100" i="4" s="1"/>
  <c r="R99" i="4" a="1"/>
  <c r="R99" i="4" s="1"/>
  <c r="R98" i="4" a="1"/>
  <c r="R98" i="4" s="1"/>
  <c r="R97" i="4" a="1"/>
  <c r="R97" i="4" s="1"/>
  <c r="R96" i="4" a="1"/>
  <c r="R96" i="4" s="1"/>
  <c r="R95" i="4" a="1"/>
  <c r="R95" i="4" s="1"/>
  <c r="R94" i="4" a="1"/>
  <c r="R94" i="4" s="1"/>
  <c r="R93" i="4" a="1"/>
  <c r="R93" i="4" s="1"/>
  <c r="R92" i="4" a="1"/>
  <c r="R92" i="4" s="1"/>
  <c r="R91" i="4" a="1"/>
  <c r="R91" i="4" s="1"/>
  <c r="R90" i="4" a="1"/>
  <c r="R90" i="4" s="1"/>
  <c r="R89" i="4" a="1"/>
  <c r="R89" i="4" s="1"/>
  <c r="R88" i="4" a="1"/>
  <c r="R88" i="4" s="1"/>
  <c r="R87" i="4" a="1"/>
  <c r="R87" i="4" s="1"/>
  <c r="R86" i="4" a="1"/>
  <c r="R86" i="4" s="1"/>
  <c r="R85" i="4" a="1"/>
  <c r="R85" i="4" s="1"/>
  <c r="R84" i="4" a="1"/>
  <c r="R84" i="4" s="1"/>
  <c r="R83" i="4" a="1"/>
  <c r="R83" i="4" s="1"/>
  <c r="R82" i="4" a="1"/>
  <c r="R82" i="4" s="1"/>
  <c r="R81" i="4" a="1"/>
  <c r="R81" i="4" s="1"/>
  <c r="R80" i="4" a="1"/>
  <c r="R80" i="4" s="1"/>
  <c r="R79" i="4" a="1"/>
  <c r="R79" i="4" s="1"/>
  <c r="R78" i="4" a="1"/>
  <c r="R78" i="4" s="1"/>
  <c r="R77" i="4" a="1"/>
  <c r="R77" i="4" s="1"/>
  <c r="R76" i="4" a="1"/>
  <c r="R76" i="4" s="1"/>
  <c r="R75" i="4" a="1"/>
  <c r="R75" i="4" s="1"/>
  <c r="R74" i="4" a="1"/>
  <c r="R74" i="4" s="1"/>
  <c r="R73" i="4" a="1"/>
  <c r="R73" i="4" s="1"/>
  <c r="R72" i="4" a="1"/>
  <c r="R72" i="4" s="1"/>
  <c r="R71" i="4" a="1"/>
  <c r="R71" i="4" s="1"/>
  <c r="R70" i="4" a="1"/>
  <c r="R70" i="4" s="1"/>
  <c r="R69" i="4" a="1"/>
  <c r="R69" i="4" s="1"/>
  <c r="R68" i="4" a="1"/>
  <c r="R68" i="4" s="1"/>
  <c r="R67" i="4" a="1"/>
  <c r="R67" i="4" s="1"/>
  <c r="R66" i="4" a="1"/>
  <c r="R66" i="4" s="1"/>
  <c r="R65" i="4" a="1"/>
  <c r="R65" i="4" s="1"/>
  <c r="R64" i="4" a="1"/>
  <c r="R64" i="4" s="1"/>
  <c r="R63" i="4" a="1"/>
  <c r="R63" i="4" s="1"/>
  <c r="R62" i="4" a="1"/>
  <c r="R62" i="4" s="1"/>
  <c r="R61" i="4" a="1"/>
  <c r="R61" i="4" s="1"/>
  <c r="R60" i="4" a="1"/>
  <c r="R60" i="4" s="1"/>
  <c r="R59" i="4" a="1"/>
  <c r="R59" i="4" s="1"/>
  <c r="R58" i="4" a="1"/>
  <c r="R58" i="4" s="1"/>
  <c r="R57" i="4" a="1"/>
  <c r="R57" i="4" s="1"/>
  <c r="R56" i="4" a="1"/>
  <c r="R56" i="4" s="1"/>
  <c r="R55" i="4" a="1"/>
  <c r="R55" i="4" s="1"/>
  <c r="R54" i="4" a="1"/>
  <c r="R54" i="4" s="1"/>
  <c r="R53" i="4" a="1"/>
  <c r="R53" i="4" s="1"/>
  <c r="R52" i="4" a="1"/>
  <c r="R52" i="4" s="1"/>
  <c r="R51" i="4" a="1"/>
  <c r="R51" i="4" s="1"/>
  <c r="R50" i="4" a="1"/>
  <c r="R50" i="4" s="1"/>
  <c r="R49" i="4" a="1"/>
  <c r="R49" i="4" s="1"/>
  <c r="R48" i="4" a="1"/>
  <c r="R48" i="4" s="1"/>
  <c r="R47" i="4" a="1"/>
  <c r="R47" i="4" s="1"/>
  <c r="R46" i="4" a="1"/>
  <c r="R46" i="4" s="1"/>
  <c r="R45" i="4" a="1"/>
  <c r="R45" i="4" s="1"/>
  <c r="R44" i="4" a="1"/>
  <c r="R44" i="4" s="1"/>
  <c r="R43" i="4" a="1"/>
  <c r="R43" i="4" s="1"/>
  <c r="R42" i="4" a="1"/>
  <c r="R42" i="4" s="1"/>
  <c r="R41" i="4" a="1"/>
  <c r="R41" i="4" s="1"/>
  <c r="R40" i="4" a="1"/>
  <c r="R40" i="4" s="1"/>
  <c r="R39" i="4" a="1"/>
  <c r="R39" i="4" s="1"/>
  <c r="R38" i="4" a="1"/>
  <c r="R38" i="4" s="1"/>
  <c r="R37" i="4" a="1"/>
  <c r="R37" i="4" s="1"/>
  <c r="R36" i="4" a="1"/>
  <c r="R36" i="4" s="1"/>
  <c r="R35" i="4" a="1"/>
  <c r="R35" i="4" s="1"/>
  <c r="R34" i="4" a="1"/>
  <c r="R34" i="4" s="1"/>
  <c r="R33" i="4" a="1"/>
  <c r="R33" i="4" s="1"/>
  <c r="R32" i="4" a="1"/>
  <c r="R32" i="4" s="1"/>
  <c r="R31" i="4" a="1"/>
  <c r="R31" i="4" s="1"/>
  <c r="R30" i="4" a="1"/>
  <c r="R30" i="4" s="1"/>
  <c r="R29" i="4" a="1"/>
  <c r="R29" i="4" s="1"/>
  <c r="R28" i="4" a="1"/>
  <c r="R28" i="4" s="1"/>
  <c r="R27" i="4" a="1"/>
  <c r="R27" i="4" s="1"/>
  <c r="R26" i="4" a="1"/>
  <c r="R26" i="4" s="1"/>
  <c r="R25" i="4" a="1"/>
  <c r="R25" i="4" s="1"/>
  <c r="R24" i="4" a="1"/>
  <c r="R24" i="4" s="1"/>
  <c r="R23" i="4" a="1"/>
  <c r="R23" i="4" s="1"/>
  <c r="R22" i="4" a="1"/>
  <c r="R22" i="4" s="1"/>
  <c r="R21" i="4" a="1"/>
  <c r="R21" i="4" s="1"/>
  <c r="R20" i="4" a="1"/>
  <c r="R20" i="4" s="1"/>
  <c r="R19" i="4" a="1"/>
  <c r="R19" i="4" s="1"/>
  <c r="R18" i="4" a="1"/>
  <c r="R18" i="4" s="1"/>
  <c r="R17" i="4" a="1"/>
  <c r="R17" i="4" s="1"/>
  <c r="R16" i="4" a="1"/>
  <c r="R16" i="4" s="1"/>
  <c r="R15" i="4" a="1"/>
  <c r="R15" i="4" s="1"/>
  <c r="R14" i="4" a="1"/>
  <c r="R14" i="4" s="1"/>
  <c r="R13" i="4" a="1"/>
  <c r="R13" i="4" s="1"/>
  <c r="R12" i="4" a="1"/>
  <c r="R12" i="4" s="1"/>
  <c r="R11" i="4" a="1"/>
  <c r="R11" i="4" s="1"/>
  <c r="R10" i="4" a="1"/>
  <c r="R10" i="4" s="1"/>
  <c r="R9" i="4" a="1"/>
  <c r="R9" i="4" s="1"/>
  <c r="R8" i="4" a="1"/>
  <c r="R8" i="4" s="1"/>
  <c r="R7" i="4" a="1"/>
  <c r="R7" i="4" s="1"/>
  <c r="R6" i="4" a="1"/>
  <c r="R6" i="4" s="1"/>
  <c r="R5" i="4" a="1"/>
  <c r="R5" i="4" s="1"/>
  <c r="R4" i="4" a="1"/>
  <c r="R4" i="4" s="1"/>
  <c r="Q172" i="4"/>
  <c r="P172" i="4"/>
  <c r="Q171" i="4"/>
  <c r="P171" i="4"/>
  <c r="Q170" i="4"/>
  <c r="P170" i="4"/>
  <c r="Q169" i="4"/>
  <c r="P169" i="4"/>
  <c r="Q168" i="4"/>
  <c r="P168" i="4"/>
  <c r="Q167" i="4"/>
  <c r="P167" i="4"/>
  <c r="Q166" i="4"/>
  <c r="P166" i="4"/>
  <c r="Q165" i="4"/>
  <c r="P165" i="4"/>
  <c r="Q164" i="4"/>
  <c r="P164" i="4"/>
  <c r="Q163" i="4"/>
  <c r="P163" i="4"/>
  <c r="Q162" i="4"/>
  <c r="P162" i="4"/>
  <c r="Q161" i="4"/>
  <c r="P161" i="4"/>
  <c r="Q160" i="4"/>
  <c r="P160" i="4"/>
  <c r="Q159" i="4"/>
  <c r="P159" i="4"/>
  <c r="Q158" i="4"/>
  <c r="P158" i="4"/>
  <c r="Q157" i="4"/>
  <c r="P157" i="4"/>
  <c r="Q156" i="4"/>
  <c r="P156" i="4"/>
  <c r="Q155" i="4"/>
  <c r="P155" i="4"/>
  <c r="Q154" i="4"/>
  <c r="P154" i="4"/>
  <c r="Q153" i="4"/>
  <c r="P153" i="4"/>
  <c r="Q152" i="4"/>
  <c r="P152" i="4"/>
  <c r="Q151" i="4"/>
  <c r="P151" i="4"/>
  <c r="Q150" i="4"/>
  <c r="P150" i="4"/>
  <c r="Q149" i="4"/>
  <c r="P149" i="4"/>
  <c r="Q148" i="4"/>
  <c r="P148" i="4"/>
  <c r="Q147" i="4"/>
  <c r="P147" i="4"/>
  <c r="Q146" i="4"/>
  <c r="P146" i="4"/>
  <c r="Q145" i="4"/>
  <c r="P145" i="4"/>
  <c r="Q144" i="4"/>
  <c r="P144" i="4"/>
  <c r="Q143" i="4"/>
  <c r="P143" i="4"/>
  <c r="Q142" i="4"/>
  <c r="P142" i="4"/>
  <c r="Q141" i="4"/>
  <c r="P141" i="4"/>
  <c r="Q140" i="4"/>
  <c r="P140" i="4"/>
  <c r="Q139" i="4"/>
  <c r="P139" i="4"/>
  <c r="Q138" i="4"/>
  <c r="P138" i="4"/>
  <c r="Q137" i="4"/>
  <c r="P137" i="4"/>
  <c r="Q136" i="4"/>
  <c r="P136" i="4"/>
  <c r="Q135" i="4"/>
  <c r="P135" i="4"/>
  <c r="Q134" i="4"/>
  <c r="P134" i="4"/>
  <c r="Q133" i="4"/>
  <c r="P133" i="4"/>
  <c r="Q132" i="4"/>
  <c r="P132" i="4"/>
  <c r="Q131" i="4"/>
  <c r="P131" i="4"/>
  <c r="Q130" i="4"/>
  <c r="P130" i="4"/>
  <c r="Q129" i="4"/>
  <c r="P129" i="4"/>
  <c r="Q128" i="4"/>
  <c r="P128" i="4"/>
  <c r="Q127" i="4"/>
  <c r="P127" i="4"/>
  <c r="Q126" i="4"/>
  <c r="P126" i="4"/>
  <c r="Q125" i="4"/>
  <c r="P125" i="4"/>
  <c r="Q124" i="4"/>
  <c r="P124" i="4"/>
  <c r="Q123" i="4"/>
  <c r="P123" i="4"/>
  <c r="Q122" i="4"/>
  <c r="P122" i="4"/>
  <c r="Q121" i="4"/>
  <c r="P121" i="4"/>
  <c r="Q120" i="4"/>
  <c r="P120" i="4"/>
  <c r="Q119" i="4"/>
  <c r="P119" i="4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Q109" i="4"/>
  <c r="P109" i="4"/>
  <c r="Q108" i="4"/>
  <c r="P108" i="4"/>
  <c r="Q107" i="4"/>
  <c r="P107" i="4"/>
  <c r="Q106" i="4"/>
  <c r="P106" i="4"/>
  <c r="Q105" i="4"/>
  <c r="P105" i="4"/>
  <c r="Q104" i="4"/>
  <c r="P104" i="4"/>
  <c r="Q103" i="4"/>
  <c r="P103" i="4"/>
  <c r="Q102" i="4"/>
  <c r="P102" i="4"/>
  <c r="Q101" i="4"/>
  <c r="P101" i="4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Q78" i="4"/>
  <c r="P78" i="4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B11" i="1" l="1" a="1"/>
  <c r="B11" i="1" s="1"/>
  <c r="C11" i="1" s="1" a="1"/>
  <c r="C11" i="1" s="1"/>
  <c r="B39" i="1" s="1"/>
  <c r="G3" i="1"/>
  <c r="F11" i="1" a="1"/>
  <c r="R1" i="1" a="1"/>
  <c r="R1" i="1" s="1"/>
  <c r="T1" i="1" s="1" a="1"/>
  <c r="T1" i="1" s="1"/>
  <c r="C16" i="1" l="1" a="1"/>
  <c r="C16" i="1" s="1"/>
  <c r="B44" i="1" s="1"/>
  <c r="C15" i="1" a="1"/>
  <c r="C15" i="1" s="1"/>
  <c r="B43" i="1" s="1"/>
  <c r="C13" i="1" a="1"/>
  <c r="C13" i="1" s="1"/>
  <c r="B41" i="1" s="1"/>
  <c r="C18" i="1" a="1"/>
  <c r="C18" i="1" s="1"/>
  <c r="B46" i="1" s="1"/>
  <c r="C17" i="1" a="1"/>
  <c r="C17" i="1" s="1"/>
  <c r="B45" i="1" s="1"/>
  <c r="C12" i="1" a="1"/>
  <c r="C12" i="1" s="1"/>
  <c r="B40" i="1" s="1"/>
  <c r="C14" i="1" a="1"/>
  <c r="C14" i="1" s="1"/>
  <c r="B42" i="1" s="1"/>
  <c r="F11" i="1"/>
  <c r="G17" i="1"/>
  <c r="F45" i="1" s="1"/>
  <c r="G16" i="1"/>
  <c r="F44" i="1" s="1"/>
  <c r="G13" i="1"/>
  <c r="F41" i="1" s="1"/>
  <c r="G14" i="1"/>
  <c r="F42" i="1" s="1"/>
  <c r="G18" i="1"/>
  <c r="F46" i="1" s="1"/>
  <c r="G15" i="1"/>
  <c r="F43" i="1" s="1"/>
  <c r="G12" i="1"/>
  <c r="F40" i="1" s="1"/>
  <c r="F31" i="1"/>
  <c r="G6" i="1"/>
  <c r="F34" i="1" s="1"/>
  <c r="G11" i="1" l="1"/>
  <c r="F3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<sst xmlns="http://schemas.openxmlformats.org/spreadsheetml/2006/main" count="502" uniqueCount="76">
  <si>
    <t>Username:</t>
  </si>
  <si>
    <t>Date</t>
  </si>
  <si>
    <t>Week of</t>
  </si>
  <si>
    <t>Name</t>
  </si>
  <si>
    <t>Phone</t>
  </si>
  <si>
    <t>(Available)</t>
  </si>
  <si>
    <t>(raw)</t>
  </si>
  <si>
    <t>Names (alph)</t>
  </si>
  <si>
    <t>Ph (alph)</t>
  </si>
  <si>
    <t>Nm (sort)</t>
  </si>
  <si>
    <t>Phone (sort)</t>
  </si>
  <si>
    <t>v 4.1.2</t>
  </si>
  <si>
    <t>Ruth</t>
  </si>
  <si>
    <t>Calls In:</t>
  </si>
  <si>
    <t>Days before:</t>
  </si>
  <si>
    <t>Leah</t>
  </si>
  <si>
    <t>Abandoned:</t>
  </si>
  <si>
    <t>Weeks before:</t>
  </si>
  <si>
    <t>Grey</t>
  </si>
  <si>
    <t>Calls Out:</t>
  </si>
  <si>
    <t>Nicole</t>
  </si>
  <si>
    <t>Total Calls:</t>
  </si>
  <si>
    <t>Nissa</t>
  </si>
  <si>
    <t>Karen</t>
  </si>
  <si>
    <t>Abandonment:</t>
  </si>
  <si>
    <t>Weekly Abandonment:</t>
  </si>
  <si>
    <t>Serena</t>
  </si>
  <si>
    <t>Monthly Average:</t>
  </si>
  <si>
    <t>Allison</t>
  </si>
  <si>
    <t>Teri</t>
  </si>
  <si>
    <t>Initialized?</t>
  </si>
  <si>
    <t>Call Activity:</t>
  </si>
  <si>
    <t>Agent Activity:</t>
  </si>
  <si>
    <t>Calls Waiting:</t>
  </si>
  <si>
    <t>Agents</t>
  </si>
  <si>
    <t>Total</t>
  </si>
  <si>
    <t># Ans.</t>
  </si>
  <si>
    <t>ASA</t>
  </si>
  <si>
    <t>LWC</t>
  </si>
  <si>
    <t>%GOS</t>
  </si>
  <si>
    <t>Avg. Talk Dur</t>
  </si>
  <si>
    <t>Tot. Talk Dur</t>
  </si>
  <si>
    <t>Avg. Handle</t>
  </si>
  <si>
    <t># Aban</t>
  </si>
  <si>
    <t xml:space="preserve">% Aban
</t>
  </si>
  <si>
    <t>Month</t>
  </si>
  <si>
    <t>Week</t>
  </si>
  <si>
    <t>Baseline</t>
  </si>
  <si>
    <t>January</t>
  </si>
  <si>
    <t>October</t>
  </si>
  <si>
    <t>November</t>
  </si>
  <si>
    <t>ACD Incoming</t>
  </si>
  <si>
    <t>Work</t>
  </si>
  <si>
    <t>Break</t>
  </si>
  <si>
    <t>Sort</t>
  </si>
  <si>
    <t>ID</t>
  </si>
  <si>
    <t>Logon</t>
  </si>
  <si>
    <t>Incoming</t>
  </si>
  <si>
    <t>Average</t>
  </si>
  <si>
    <t>Staff</t>
  </si>
  <si>
    <t>Duration</t>
  </si>
  <si>
    <t>Talk Dur</t>
  </si>
  <si>
    <t>Count</t>
  </si>
  <si>
    <t>User</t>
  </si>
  <si>
    <t xml:space="preserve">  20113 (ID: 20113)</t>
  </si>
  <si>
    <t xml:space="preserve">  20114 (ID: 20114)</t>
  </si>
  <si>
    <t xml:space="preserve">  20116 (ID: 20116)</t>
  </si>
  <si>
    <t xml:space="preserve">  20118 (ID: 20118)</t>
  </si>
  <si>
    <t xml:space="preserve">  20119 (ID: 20119)</t>
  </si>
  <si>
    <t xml:space="preserve">  20120 (ID: 20120)</t>
  </si>
  <si>
    <t xml:space="preserve">  20121 (ID: 20121)</t>
  </si>
  <si>
    <t xml:space="preserve">  20122 (ID: 20122)</t>
  </si>
  <si>
    <t xml:space="preserve">  20124 (ID: 20124)</t>
  </si>
  <si>
    <t xml:space="preserve">  20112 (ID: 20112)</t>
  </si>
  <si>
    <t>December</t>
  </si>
  <si>
    <t>shaughey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</si>
</sst>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2" borderId="4" xfId="0" applyFill="1" applyBorder="1"/>
    <xf numFmtId="0" fontId="0" fillId="2" borderId="6" xfId="0" applyFill="1" applyBorder="1"/>
    <xf numFmtId="21" fontId="0" fillId="0" borderId="0" xfId="0" applyNumberFormat="1" applyAlignment="1">
      <alignment horizontal="left"/>
    </xf>
    <xf numFmtId="10" fontId="0" fillId="0" borderId="0" xfId="1" applyNumberFormat="1" applyFont="1"/>
    <xf numFmtId="10" fontId="0" fillId="0" borderId="0" xfId="1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1" applyNumberFormat="1" applyFont="1"/>
    <xf numFmtId="16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14" fontId="0" fillId="0" borderId="0" xfId="0" applyNumberFormat="1" applyAlignment="1">
      <alignment horizontal="centerContinuous"/>
    </xf>
    <xf numFmtId="14" fontId="0" fillId="0" borderId="8" xfId="0" applyNumberFormat="1" applyBorder="1" applyAlignment="1">
      <alignment horizontal="centerContinuous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2" borderId="9" xfId="0" applyFill="1" applyBorder="1" applyAlignment="1">
      <alignment horizontal="right"/>
    </xf>
    <xf numFmtId="0" fontId="0" fillId="2" borderId="0" xfId="0" applyFill="1"/>
    <xf numFmtId="19" fontId="0" fillId="0" borderId="0" xfId="0" applyNumberFormat="1"/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E538-AC1D-4D5C-A797-5646CC09E7FB}">
  <sheetPr codeName="Sheet1"/>
  <dimension ref="A1:B1"/>
  <sheetViews>
    <sheetView workbookViewId="0">
      <selection activeCell="B2" sqref="B2"/>
    </sheetView>
  </sheetViews>
  <sheetFormatPr defaultRowHeight="15" x14ac:dyDescent="0.25"/>
  <cols>
    <col min="1" max="1" width="10.5703125" bestFit="1" customWidth="1"/>
  </cols>
  <sheetData>
    <row r="1" spans="1:2" x14ac:dyDescent="0.25">
      <c r="A1" t="s">
        <v>0</v>
      </c>
      <c r="B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AJ54"/>
  <sheetViews>
    <sheetView topLeftCell="I1" workbookViewId="0">
      <selection activeCell="AC21" sqref="AC21"/>
    </sheetView>
  </sheetViews>
  <sheetFormatPr defaultRowHeight="15" x14ac:dyDescent="0.25"/>
  <cols>
    <col min="2" max="2" width="16.85546875" bestFit="1" customWidth="1"/>
    <col min="3" max="3" width="12.28515625" customWidth="1"/>
    <col min="6" max="6" width="21.85546875" bestFit="1" customWidth="1"/>
    <col min="7" max="7" width="12.28515625" customWidth="1"/>
    <col min="8" max="8" width="9.7109375" bestFit="1" customWidth="1"/>
    <col min="14" max="14" width="9.7109375" bestFit="1" customWidth="1"/>
    <col min="15" max="15" width="12.140625" customWidth="1"/>
    <col min="16" max="16" width="9.7109375" customWidth="1"/>
    <col min="17" max="17" width="9.7109375" style="3" customWidth="1"/>
    <col min="18" max="18" width="10.7109375" style="3" customWidth="1"/>
    <col min="19" max="20" width="10.7109375" style="3" bestFit="1" customWidth="1"/>
    <col min="25" max="25" width="9.140625" style="9"/>
    <col min="26" max="26" width="9.140625" style="17"/>
    <col min="27" max="27" width="16.7109375" style="10" bestFit="1" customWidth="1"/>
    <col min="28" max="28" width="16.7109375" style="7" bestFit="1" customWidth="1"/>
    <col min="29" max="29" width="9.140625" style="7"/>
    <col min="30" max="30" width="9.140625" style="8"/>
    <col min="31" max="31" width="11.42578125" style="8" customWidth="1"/>
    <col min="32" max="35" width="9.140625" style="9"/>
    <col min="36" max="36" width="9.140625" style="10"/>
  </cols>
  <sheetData>
    <row r="1" spans="2:36" x14ac:dyDescent="0.25">
      <c r="B1" s="1" t="s">
        <v>1</v>
      </c>
      <c r="C1" s="2">
        <v>46010</v>
      </c>
      <c r="F1" s="1" t="s">
        <v>2</v>
      </c>
      <c r="G1" s="2">
        <v>45999</v>
      </c>
      <c r="H1" s="3"/>
      <c r="O1" s="3">
        <f ca="1">TODAY()-L3</f>
        <v>46024</v>
      </c>
      <c r="P1" s="3">
        <f ca="1">TODAY()</f>
        <v>46034</v>
      </c>
      <c r="Q1" s="3" cm="1">
        <f t="array" ref="Q1:Q54">IFERROR(_xlfn._xlws.FILTER(_xlfn.UNIQUE('Call Activity'!O:O),(_xlfn.UNIQUE('Call Activity'!O:O)&lt;&gt;0)*(_xlfn.UNIQUE('Call Activity'!O:O)&lt;&gt;"Date")*(_xlfn.UNIQUE('Call Activity'!O:O)&gt;36892)),"")</f>
        <v>45931</v>
      </c>
      <c r="R1" s="3" cm="1">
        <f t="array" ref="R1:R11">IFERROR(_xlfn._xlws.FILTER(_xlfn.UNIQUE('Agent Activity'!Q:Q),(_xlfn.UNIQUE('Agent Activity'!Q:Q)&lt;&gt;0)*(_xlfn.UNIQUE('Agent Activity'!Q:Q)&lt;&gt;"Week")*(_xlfn.UNIQUE('Agent Activity'!Q:Q)&gt;36892)),"")</f>
        <v>45929</v>
      </c>
      <c r="S1" s="3" t="str" cm="1">
        <f t="array" aca="1" ref="S1" ca="1">IFERROR(_xlfn._xlws.FILTER(Q:Q, (Q:Q &gt; $O$1) * (Q:Q &lt;= $P$1)),"No data")</f>
        <v>No data</v>
      </c>
      <c r="T1" s="3" t="str" cm="1">
        <f t="array" aca="1" ref="T1" ca="1">IFERROR(_xlfn._xlws.FILTER(R:R, (R:R &gt;= $O$2) * (R:R &lt;= $P$2)),"No data")</f>
        <v>No data</v>
      </c>
      <c r="V1" cm="1">
        <f t="array" ref="V1:V15">IFERROR(_xlfn._xlws.FILTER('Call Activity'!K:K, ('Call Activity'!P:P = TEXT($C$1,"mmmm")) * ('Call Activity'!O:O &lt;= $C$1)),"")</f>
        <v>2.7</v>
      </c>
      <c r="W1" cm="1">
        <f t="array" ref="W1:W5">IFERROR(_xlfn._xlws.FILTER(
  'Call Activity'!K:K,
  ('Call Activity'!O:O &gt;= $G$1) *
  ('Call Activity'!O:O &lt;= ($G$1+5))
),"")</f>
        <v>2.7</v>
      </c>
      <c r="X1" cm="1">
        <f t="array" ref="X1:X10">IFERROR(_xlfn._xlws.FILTER('Call Activity'!K:K, ('Call Activity'!P:P = TEXT($G$1,"mmmm")) * ('Call Activity'!O:O &lt;= ($G$1+5))),"")</f>
        <v>2.7</v>
      </c>
      <c r="Y1"/>
      <c r="Z1" s="5" t="s">
        <v>3</v>
      </c>
      <c r="AA1" s="5" t="s">
        <v>4</v>
      </c>
      <c r="AB1" s="6" t="s">
        <v>5</v>
      </c>
      <c r="AC1" s="7" t="s">
        <v>6</v>
      </c>
      <c r="AD1" s="8" cm="1">
        <f t="array" ref="AD1:AD9">IFERROR(_xlfn._xlws.SORT(_xlfn._xlws.FILTER(AA2:AA26,(Z2:Z26&lt;&gt;""))),"")</f>
        <v>20113</v>
      </c>
      <c r="AE1" s="8" cm="1">
        <f t="array" ref="AE1:AE16">IFERROR(_xlfn._xlws.SORT(_xlfn._xlws.FILTER(AA2:AA26,(Z2:Z26=""))),"")</f>
        <v>0</v>
      </c>
      <c r="AF1" s="9" t="s">
        <v>7</v>
      </c>
      <c r="AG1" s="9" t="s">
        <v>8</v>
      </c>
      <c r="AH1"/>
      <c r="AI1" s="9" t="s">
        <v>9</v>
      </c>
      <c r="AJ1" s="10" t="s">
        <v>10</v>
      </c>
    </row>
    <row r="2" spans="2:36" x14ac:dyDescent="0.25">
      <c r="N2" t="s">
        <v>11</v>
      </c>
      <c r="O2" s="3">
        <f ca="1">(P1-WEEKDAY(P1,1)+2)-(L4*7)</f>
        <v>46013</v>
      </c>
      <c r="P2" s="3">
        <f ca="1">P1-WEEKDAY(P1,1)+2</f>
        <v>46034</v>
      </c>
      <c r="Q2" s="3">
        <v>45932</v>
      </c>
      <c r="R2" s="3">
        <v>45936</v>
      </c>
      <c r="V2">
        <v>4.1900000000000004</v>
      </c>
      <c r="W2">
        <v>4.1900000000000004</v>
      </c>
      <c r="X2">
        <v>4.1900000000000004</v>
      </c>
      <c r="Z2" s="11" t="s">
        <v>12</v>
      </c>
      <c r="AA2" s="1">
        <v>20113</v>
      </c>
      <c r="AB2" s="7" t="str">
        <f>IF(AC2&lt;&gt;"",_xlfn.TEXTBEFORE(AC2," ("),"")</f>
        <v>20112</v>
      </c>
      <c r="AC2" s="7" t="str" cm="1">
        <f t="array" ref="AC2:AC11">IFERROR(_xlfn.LET(
    _xlpm.list, TRIM('Agent Activity'!A5:A1000000),
    _xlpm.uniques, _xlfn.UNIQUE(_xlpm.list),
    _xlfn._xlws.SORT(_xlfn._xlws.FILTER(_xlpm.uniques, _xlpm.uniques&lt;&gt;""))
),"")</f>
        <v>20112 (ID: 20112)</v>
      </c>
      <c r="AD2" s="8">
        <v>20114</v>
      </c>
      <c r="AE2" s="8">
        <v>0</v>
      </c>
      <c r="AF2" s="9" t="str" cm="1">
        <f t="array" ref="AF2:AF10">IFERROR(_xlfn._xlws.SORT(_xlfn._xlws.FILTER(Z2:Z26,(Z2:Z26&lt;&gt;""))),"")</f>
        <v>Allison</v>
      </c>
      <c r="AG2" s="9" cm="1">
        <f t="array" ref="AG2:AG10">IFERROR(_xlfn.LET(_xlpm.exts,_xlfn.TOCOL(AD1:AE26,1,TRUE),_xlfn._xlws.FILTER(_xlpm.exts,_xlpm.exts&lt;&gt;0)),"")</f>
        <v>20113</v>
      </c>
      <c r="AI2" s="9" t="str">
        <f>IF(AJ2="","",IF(_xlfn.XLOOKUP(AJ2,$AA$2:$AA$26,$Z$2:$Z$26,"")=0,"",_xlfn.XLOOKUP(AJ2,$AA$2:$AA$26,$Z$2:$Z$26,"")))</f>
        <v>Ruth</v>
      </c>
      <c r="AJ2" s="10" cm="1">
        <f t="array" ref="AJ2:AJ10">IFERROR(_xlfn._xlws.SORT(_xlfn._xlws.FILTER(AA2:AA26,(AA2:AA26&lt;&gt;""))),"")</f>
        <v>20113</v>
      </c>
    </row>
    <row r="3" spans="2:36" x14ac:dyDescent="0.25">
      <c r="B3" s="1" t="s">
        <v>13</v>
      </c>
      <c r="C3">
        <f>_xlfn.XLOOKUP($C$1,'Call Activity'!O:O,'Call Activity'!B:B,"")</f>
        <v>118</v>
      </c>
      <c r="F3" s="1" t="s">
        <v>13</v>
      </c>
      <c r="G3">
        <f>SUMIF('Agent Activity'!Q:Q, $G$1, 'Agent Activity'!C:C)</f>
        <v>712</v>
      </c>
      <c r="J3" s="40" t="s">
        <v>14</v>
      </c>
      <c r="K3" s="41"/>
      <c r="L3" s="12">
        <v>10</v>
      </c>
      <c r="Q3" s="3">
        <v>45933</v>
      </c>
      <c r="R3" s="3">
        <v>45943</v>
      </c>
      <c r="V3">
        <v>1.72</v>
      </c>
      <c r="W3">
        <v>1.72</v>
      </c>
      <c r="X3">
        <v>1.72</v>
      </c>
      <c r="Z3" s="11" t="s">
        <v>15</v>
      </c>
      <c r="AA3" s="1">
        <v>20114</v>
      </c>
      <c r="AB3" s="7" t="str">
        <f t="shared" ref="AB3:AB26" si="0">IF(AC3&lt;&gt;"",_xlfn.TEXTBEFORE(AC3," ("),"")</f>
        <v>20113</v>
      </c>
      <c r="AC3" s="7" t="str">
        <v>20113 (ID: 20113)</v>
      </c>
      <c r="AD3" s="8">
        <v>20116</v>
      </c>
      <c r="AE3" s="8">
        <v>0</v>
      </c>
      <c r="AF3" s="9" t="str">
        <v>Grey</v>
      </c>
      <c r="AG3" s="9">
        <v>20114</v>
      </c>
      <c r="AI3" s="9" t="str">
        <f>IF(AJ3="","",IF(_xlfn.XLOOKUP(AJ3,$AA$2:$AA$26,$Z$2:$Z$26,"")=0,"",_xlfn.XLOOKUP(AJ3,$AA$2:$AA$26,$Z$2:$Z$26,"")))</f>
        <v>Leah</v>
      </c>
      <c r="AJ3" s="10">
        <v>20114</v>
      </c>
    </row>
    <row r="4" spans="2:36" x14ac:dyDescent="0.25">
      <c r="B4" s="1" t="s">
        <v>16</v>
      </c>
      <c r="C4">
        <f>_xlfn.XLOOKUP($C$1,'Call Activity'!O:O,'Call Activity'!J:J,"")</f>
        <v>8</v>
      </c>
      <c r="F4" s="1" t="s">
        <v>16</v>
      </c>
      <c r="G4">
        <f>SUMIF('Call Activity'!Q:Q, $G$1,'Call Activity'!J:J)</f>
        <v>29</v>
      </c>
      <c r="J4" s="42" t="s">
        <v>17</v>
      </c>
      <c r="K4" s="43"/>
      <c r="L4" s="13">
        <v>3</v>
      </c>
      <c r="Q4" s="3">
        <v>45936</v>
      </c>
      <c r="R4" s="3">
        <v>45950</v>
      </c>
      <c r="V4">
        <v>4.1100000000000003</v>
      </c>
      <c r="W4">
        <v>4.1100000000000003</v>
      </c>
      <c r="X4">
        <v>4.1100000000000003</v>
      </c>
      <c r="Z4" s="11" t="s">
        <v>18</v>
      </c>
      <c r="AA4" s="1">
        <v>20116</v>
      </c>
      <c r="AB4" s="7" t="str">
        <f t="shared" si="0"/>
        <v>20114</v>
      </c>
      <c r="AC4" s="7" t="str">
        <v>20114 (ID: 20114)</v>
      </c>
      <c r="AD4" s="8">
        <v>20118</v>
      </c>
      <c r="AE4" s="8">
        <v>0</v>
      </c>
      <c r="AF4" s="9" t="str">
        <v>Karen</v>
      </c>
      <c r="AG4" s="9">
        <v>20116</v>
      </c>
      <c r="AI4" s="9" t="str">
        <f t="shared" ref="AI4:AI26" si="1">IF(AJ4="","",IF(_xlfn.XLOOKUP(AJ4,$AA$2:$AA$26,$Z$2:$Z$26,"")=0,"",_xlfn.XLOOKUP(AJ4,$AA$2:$AA$26,$Z$2:$Z$26,"")))</f>
        <v>Grey</v>
      </c>
      <c r="AJ4" s="10">
        <v>20116</v>
      </c>
    </row>
    <row r="5" spans="2:36" x14ac:dyDescent="0.25">
      <c r="B5" s="1" t="s">
        <v>19</v>
      </c>
      <c r="C5">
        <f>_xlfn.XLOOKUP($C$1,'Call Activity'!O:O,'Call Activity'!L:L,"")</f>
        <v>99</v>
      </c>
      <c r="F5" s="1" t="s">
        <v>19</v>
      </c>
      <c r="G5">
        <f>SUMIF('Call Activity'!Q:Q, $G$1, 'Call Activity'!L:L)</f>
        <v>673</v>
      </c>
      <c r="N5">
        <v>3</v>
      </c>
      <c r="Q5" s="3">
        <v>45937</v>
      </c>
      <c r="R5" s="3">
        <v>45957</v>
      </c>
      <c r="V5">
        <v>7.89</v>
      </c>
      <c r="W5">
        <v>7.89</v>
      </c>
      <c r="X5">
        <v>7.89</v>
      </c>
      <c r="Z5" s="14" t="s">
        <v>20</v>
      </c>
      <c r="AA5" s="1">
        <v>20118</v>
      </c>
      <c r="AB5" s="7" t="str">
        <f t="shared" si="0"/>
        <v>20116</v>
      </c>
      <c r="AC5" s="7" t="str">
        <v>20116 (ID: 20116)</v>
      </c>
      <c r="AD5" s="8">
        <v>20119</v>
      </c>
      <c r="AE5" s="8">
        <v>0</v>
      </c>
      <c r="AF5" s="9" t="str">
        <v>Leah</v>
      </c>
      <c r="AG5" s="9">
        <v>20118</v>
      </c>
      <c r="AI5" s="9" t="str">
        <f t="shared" si="1"/>
        <v>Nicole</v>
      </c>
      <c r="AJ5" s="10">
        <v>20118</v>
      </c>
    </row>
    <row r="6" spans="2:36" x14ac:dyDescent="0.25">
      <c r="B6" s="1" t="s">
        <v>21</v>
      </c>
      <c r="C6">
        <f>IFERROR(C3+C5-C4,"")</f>
        <v>209</v>
      </c>
      <c r="F6" s="1" t="s">
        <v>21</v>
      </c>
      <c r="G6">
        <f>SUM(G3+G5)</f>
        <v>1385</v>
      </c>
      <c r="N6">
        <v>7</v>
      </c>
      <c r="Q6" s="3">
        <v>45938</v>
      </c>
      <c r="R6" s="3">
        <v>45964</v>
      </c>
      <c r="V6">
        <v>7.34</v>
      </c>
      <c r="X6">
        <v>7.34</v>
      </c>
      <c r="Z6" s="14" t="s">
        <v>22</v>
      </c>
      <c r="AA6" s="1">
        <v>20119</v>
      </c>
      <c r="AB6" s="7" t="str">
        <f t="shared" si="0"/>
        <v>20118</v>
      </c>
      <c r="AC6" s="7" t="str">
        <v>20118 (ID: 20118)</v>
      </c>
      <c r="AD6" s="8">
        <v>20120</v>
      </c>
      <c r="AE6" s="8">
        <v>0</v>
      </c>
      <c r="AF6" s="9" t="str">
        <v>Nicole</v>
      </c>
      <c r="AG6" s="9">
        <v>20119</v>
      </c>
      <c r="AI6" s="9" t="str">
        <f t="shared" si="1"/>
        <v>Nissa</v>
      </c>
      <c r="AJ6" s="10">
        <v>20119</v>
      </c>
    </row>
    <row r="7" spans="2:36" x14ac:dyDescent="0.25">
      <c r="Q7" s="3">
        <v>45939</v>
      </c>
      <c r="R7" s="3">
        <v>45971</v>
      </c>
      <c r="V7">
        <v>3.27</v>
      </c>
      <c r="X7">
        <v>3.27</v>
      </c>
      <c r="Z7" s="11" t="s">
        <v>23</v>
      </c>
      <c r="AA7" s="1">
        <v>20120</v>
      </c>
      <c r="AB7" s="7" t="str">
        <f t="shared" si="0"/>
        <v>20119</v>
      </c>
      <c r="AC7" s="7" t="str">
        <v>20119 (ID: 20119)</v>
      </c>
      <c r="AD7" s="8">
        <v>20121</v>
      </c>
      <c r="AE7" s="8">
        <v>0</v>
      </c>
      <c r="AF7" s="9" t="str">
        <v>Nissa</v>
      </c>
      <c r="AG7" s="9">
        <v>20120</v>
      </c>
      <c r="AI7" s="9" t="str">
        <f t="shared" si="1"/>
        <v>Karen</v>
      </c>
      <c r="AJ7" s="10">
        <v>20120</v>
      </c>
    </row>
    <row r="8" spans="2:36" x14ac:dyDescent="0.25">
      <c r="B8" s="1" t="s">
        <v>24</v>
      </c>
      <c r="C8" s="15">
        <f>IFERROR(_xlfn.XLOOKUP($C$1,'Call Activity'!O:O,'Call Activity'!K:K)/100,"")</f>
        <v>6.7799999999999999E-2</v>
      </c>
      <c r="F8" s="1" t="s">
        <v>25</v>
      </c>
      <c r="G8" s="15">
        <f>IFERROR(AVERAGE(W:W)/100,"")</f>
        <v>4.1220000000000007E-2</v>
      </c>
      <c r="Q8" s="3">
        <v>45940</v>
      </c>
      <c r="R8" s="3">
        <v>45978</v>
      </c>
      <c r="V8">
        <v>3.25</v>
      </c>
      <c r="X8">
        <v>3.25</v>
      </c>
      <c r="Z8" s="11" t="s">
        <v>26</v>
      </c>
      <c r="AA8" s="1">
        <v>20121</v>
      </c>
      <c r="AB8" s="7" t="str">
        <f t="shared" si="0"/>
        <v>20120</v>
      </c>
      <c r="AC8" s="7" t="str">
        <v>20120 (ID: 20120)</v>
      </c>
      <c r="AD8" s="8">
        <v>20122</v>
      </c>
      <c r="AE8" s="8">
        <v>0</v>
      </c>
      <c r="AF8" s="9" t="str">
        <v>Ruth</v>
      </c>
      <c r="AG8" s="9">
        <v>20121</v>
      </c>
      <c r="AI8" s="9" t="str">
        <f t="shared" si="1"/>
        <v>Serena</v>
      </c>
      <c r="AJ8" s="10">
        <v>20121</v>
      </c>
    </row>
    <row r="9" spans="2:36" x14ac:dyDescent="0.25">
      <c r="B9" s="1" t="s">
        <v>27</v>
      </c>
      <c r="C9" s="16">
        <f>IFERROR(AVERAGE($V:$V)/100,"0.00%")</f>
        <v>4.565333333333333E-2</v>
      </c>
      <c r="F9" s="1" t="s">
        <v>27</v>
      </c>
      <c r="G9" s="16">
        <f>IFERROR(AVERAGE($X:$X)/100,"0.00%")</f>
        <v>4.1540000000000001E-2</v>
      </c>
      <c r="Q9" s="3">
        <v>45943</v>
      </c>
      <c r="R9" s="3">
        <v>45999</v>
      </c>
      <c r="V9">
        <v>3.94</v>
      </c>
      <c r="X9">
        <v>3.94</v>
      </c>
      <c r="Z9" s="11" t="s">
        <v>28</v>
      </c>
      <c r="AA9" s="1">
        <v>20122</v>
      </c>
      <c r="AB9" s="7" t="str">
        <f t="shared" si="0"/>
        <v>20121</v>
      </c>
      <c r="AC9" s="7" t="str">
        <v>20121 (ID: 20121)</v>
      </c>
      <c r="AD9" s="8">
        <v>20124</v>
      </c>
      <c r="AE9" s="8">
        <v>0</v>
      </c>
      <c r="AF9" s="9" t="str">
        <v>Serena</v>
      </c>
      <c r="AG9" s="9">
        <v>20122</v>
      </c>
      <c r="AI9" s="9" t="str">
        <f t="shared" si="1"/>
        <v>Allison</v>
      </c>
      <c r="AJ9" s="10">
        <v>20122</v>
      </c>
    </row>
    <row r="10" spans="2:36" x14ac:dyDescent="0.25">
      <c r="Q10" s="3">
        <v>45944</v>
      </c>
      <c r="R10" s="3">
        <v>45992</v>
      </c>
      <c r="V10">
        <v>3.13</v>
      </c>
      <c r="X10">
        <v>3.13</v>
      </c>
      <c r="Z10" s="11" t="s">
        <v>29</v>
      </c>
      <c r="AA10" s="1">
        <v>20124</v>
      </c>
      <c r="AB10" s="7" t="str">
        <f t="shared" si="0"/>
        <v>20122</v>
      </c>
      <c r="AC10" s="7" t="str">
        <v>20122 (ID: 20122)</v>
      </c>
      <c r="AE10" s="8">
        <v>0</v>
      </c>
      <c r="AF10" s="9" t="str">
        <v>Teri</v>
      </c>
      <c r="AG10" s="9">
        <v>20124</v>
      </c>
      <c r="AI10" s="9" t="str">
        <f t="shared" si="1"/>
        <v>Teri</v>
      </c>
      <c r="AJ10" s="10">
        <v>20124</v>
      </c>
    </row>
    <row r="11" spans="2:36" x14ac:dyDescent="0.25">
      <c r="B11" t="str" cm="1">
        <f t="array" ref="B11:B16">IFERROR(
  _xlfn._xlws.SORT(
    _xlfn.UNIQUE(
      _xlfn._xlws.FILTER(
        'Agent Activity'!R:R,
        ('Agent Activity'!O:O = C1) * ('Agent Activity'!R:R &lt;&gt; "") * ('Agent Activity'!R:R &lt;&gt; 0)
      )
    )
  ),
  "No match"
)</f>
        <v>Allison</v>
      </c>
      <c r="C11" cm="1">
        <f t="array" ref="C11">IFERROR(IF(B11&lt;&gt;0, INDEX('Agent Activity'!$C:$C, MATCH(1, ('Agent Activity'!$R:$R=B11)*('Agent Activity'!$O:$O=$C$1), 0)), ""),"")</f>
        <v>3</v>
      </c>
      <c r="F11" t="str" cm="1">
        <f t="array" ref="F11:F18">IFERROR(
  _xlfn._xlws.SORT(
    _xlfn.UNIQUE(
      _xlfn._xlws.FILTER(
        'Agent Activity'!R:R,
        ('Agent Activity'!Q:Q = G1) * ('Agent Activity'!R:R &lt;&gt; "") * ('Agent Activity'!R:R &lt;&gt; 0)
      )
    )
  ),
  "No match"
)</f>
        <v>Allison</v>
      </c>
      <c r="G11">
        <f>IFERROR(IF(F11&lt;&gt;0,SUMIFS('Agent Activity'!$C:$C, 'Agent Activity'!$R:$R, F11, 'Agent Activity'!$Q:$Q, $G$1),""),"")</f>
        <v>41</v>
      </c>
      <c r="Q11" s="3">
        <v>45945</v>
      </c>
      <c r="R11" s="3">
        <v>46006</v>
      </c>
      <c r="V11">
        <v>11.17</v>
      </c>
      <c r="Z11" s="11"/>
      <c r="AA11" s="1"/>
      <c r="AB11" s="7" t="str">
        <f t="shared" si="0"/>
        <v>20124</v>
      </c>
      <c r="AC11" s="7" t="str">
        <v>20124 (ID: 20124)</v>
      </c>
      <c r="AE11" s="8">
        <v>0</v>
      </c>
      <c r="AI11" s="9" t="str">
        <f t="shared" si="1"/>
        <v/>
      </c>
    </row>
    <row r="12" spans="2:36" x14ac:dyDescent="0.25">
      <c r="B12" t="str">
        <v>Karen</v>
      </c>
      <c r="C12" cm="1">
        <f t="array" ref="C12">IF(B12&lt;&gt;0, INDEX('Agent Activity'!$C:$C, MATCH(1, ('Agent Activity'!$R:$R=B12)*('Agent Activity'!$O:$O=$C$1), 0)), "")</f>
        <v>11</v>
      </c>
      <c r="F12" t="str">
        <v>Grey</v>
      </c>
      <c r="G12">
        <f>IF(F12&lt;&gt;0,SUMIFS('Agent Activity'!$C:$C, 'Agent Activity'!$R:$R, F12, 'Agent Activity'!$Q:$Q, $G$1),"")</f>
        <v>157</v>
      </c>
      <c r="Q12" s="3">
        <v>45946</v>
      </c>
      <c r="V12">
        <v>1.1599999999999999</v>
      </c>
      <c r="AB12" s="7" t="str">
        <f t="shared" si="0"/>
        <v/>
      </c>
      <c r="AE12" s="8">
        <v>0</v>
      </c>
      <c r="AI12" s="9" t="str">
        <f t="shared" si="1"/>
        <v/>
      </c>
    </row>
    <row r="13" spans="2:36" x14ac:dyDescent="0.25">
      <c r="B13" t="str">
        <v>Nicole</v>
      </c>
      <c r="C13" cm="1">
        <f t="array" ref="C13">IF(B13&lt;&gt;0, INDEX('Agent Activity'!$C:$C, MATCH(1, ('Agent Activity'!$R:$R=B13)*('Agent Activity'!$O:$O=$C$1), 0)), "")</f>
        <v>12</v>
      </c>
      <c r="F13" t="str">
        <v>Karen</v>
      </c>
      <c r="G13">
        <f>IF(F13&lt;&gt;0,SUMIFS('Agent Activity'!$C:$C, 'Agent Activity'!$R:$R, F13, 'Agent Activity'!$Q:$Q, $G$1),"")</f>
        <v>30</v>
      </c>
      <c r="Q13" s="3">
        <v>45947</v>
      </c>
      <c r="V13">
        <v>3.92</v>
      </c>
      <c r="Z13" s="11"/>
      <c r="AA13" s="1"/>
      <c r="AB13" s="7" t="str">
        <f t="shared" si="0"/>
        <v/>
      </c>
      <c r="AE13" s="8">
        <v>0</v>
      </c>
      <c r="AI13" s="9" t="str">
        <f t="shared" si="1"/>
        <v/>
      </c>
    </row>
    <row r="14" spans="2:36" x14ac:dyDescent="0.25">
      <c r="B14" t="str">
        <v>Nissa</v>
      </c>
      <c r="C14" cm="1">
        <f t="array" ref="C14">IF(B14&lt;&gt;0, INDEX('Agent Activity'!$C:$C, MATCH(1, ('Agent Activity'!$R:$R=B14)*('Agent Activity'!$O:$O=$C$1), 0)), "")</f>
        <v>26</v>
      </c>
      <c r="F14" t="str">
        <v>Nicole</v>
      </c>
      <c r="G14">
        <f>IF(F14&lt;&gt;0,SUMIFS('Agent Activity'!$C:$C, 'Agent Activity'!$R:$R, F14, 'Agent Activity'!$Q:$Q, $G$1),"")</f>
        <v>48</v>
      </c>
      <c r="Q14" s="3">
        <v>45950</v>
      </c>
      <c r="V14">
        <v>3.91</v>
      </c>
      <c r="AB14" s="7" t="str">
        <f t="shared" si="0"/>
        <v/>
      </c>
      <c r="AE14" s="8">
        <v>0</v>
      </c>
      <c r="AI14" s="9" t="str">
        <f t="shared" si="1"/>
        <v/>
      </c>
    </row>
    <row r="15" spans="2:36" x14ac:dyDescent="0.25">
      <c r="B15" t="str">
        <v>Ruth</v>
      </c>
      <c r="C15" cm="1">
        <f t="array" ref="C15">IF(B15&lt;&gt;0, INDEX('Agent Activity'!$C:$C, MATCH(1, ('Agent Activity'!$R:$R=B15)*('Agent Activity'!$O:$O=$C$1), 0)), "")</f>
        <v>44</v>
      </c>
      <c r="F15" t="str">
        <v>Nissa</v>
      </c>
      <c r="G15">
        <f>IF(F15&lt;&gt;0,SUMIFS('Agent Activity'!$C:$C, 'Agent Activity'!$R:$R, F15, 'Agent Activity'!$Q:$Q, $G$1),"")</f>
        <v>105</v>
      </c>
      <c r="Q15" s="3">
        <v>45951</v>
      </c>
      <c r="V15">
        <v>6.78</v>
      </c>
      <c r="AB15" s="7" t="str">
        <f t="shared" si="0"/>
        <v/>
      </c>
      <c r="AE15" s="8">
        <v>0</v>
      </c>
      <c r="AI15" s="9" t="str">
        <f t="shared" si="1"/>
        <v/>
      </c>
    </row>
    <row r="16" spans="2:36" x14ac:dyDescent="0.25">
      <c r="B16" t="str">
        <v>Teri</v>
      </c>
      <c r="C16" cm="1">
        <f t="array" ref="C16">IF(B16&lt;&gt;0, INDEX('Agent Activity'!$C:$C, MATCH(1, ('Agent Activity'!$R:$R=B16)*('Agent Activity'!$O:$O=$C$1), 0)), "")</f>
        <v>12</v>
      </c>
      <c r="F16" t="str">
        <v>Ruth</v>
      </c>
      <c r="G16">
        <f>IF(F16&lt;&gt;0,SUMIFS('Agent Activity'!$C:$C, 'Agent Activity'!$R:$R, F16, 'Agent Activity'!$Q:$Q, $G$1),"")</f>
        <v>161</v>
      </c>
      <c r="Q16" s="3">
        <v>45953</v>
      </c>
      <c r="AB16" s="7" t="str">
        <f t="shared" si="0"/>
        <v/>
      </c>
      <c r="AE16" s="8">
        <v>0</v>
      </c>
      <c r="AI16" s="9" t="str">
        <f t="shared" si="1"/>
        <v/>
      </c>
    </row>
    <row r="17" spans="2:36" x14ac:dyDescent="0.25">
      <c r="C17" t="str" cm="1">
        <f t="array" ref="C17">IF(B17&lt;&gt;0, INDEX('Agent Activity'!$C:$C, MATCH(1, ('Agent Activity'!$R:$R=B17)*('Agent Activity'!$O:$O=$C$1), 0)), "")</f>
        <v/>
      </c>
      <c r="F17" t="str">
        <v>Serena</v>
      </c>
      <c r="G17">
        <f>IF(F17&lt;&gt;0,SUMIFS('Agent Activity'!$C:$C, 'Agent Activity'!$R:$R, F17, 'Agent Activity'!$Q:$Q, $G$1),"")</f>
        <v>80</v>
      </c>
      <c r="Q17" s="3">
        <v>45954</v>
      </c>
      <c r="AB17" s="7" t="str">
        <f t="shared" si="0"/>
        <v/>
      </c>
      <c r="AI17" s="9" t="str">
        <f t="shared" si="1"/>
        <v/>
      </c>
    </row>
    <row r="18" spans="2:36" x14ac:dyDescent="0.25">
      <c r="C18" t="str" cm="1">
        <f t="array" ref="C18">IF(B18&lt;&gt;0, INDEX('Agent Activity'!$C:$C, MATCH(1, ('Agent Activity'!$R:$R=B18)*('Agent Activity'!$O:$O=$C$1), 0)), "")</f>
        <v/>
      </c>
      <c r="F18" t="str">
        <v>Teri</v>
      </c>
      <c r="G18">
        <f>IF(F18&lt;&gt;0,SUMIFS('Agent Activity'!$C:$C, 'Agent Activity'!$R:$R, F18, 'Agent Activity'!$Q:$Q, $G$1),"")</f>
        <v>90</v>
      </c>
      <c r="Q18" s="3">
        <v>45957</v>
      </c>
      <c r="AB18" s="7" t="str">
        <f t="shared" si="0"/>
        <v/>
      </c>
      <c r="AI18" s="9" t="str">
        <f t="shared" si="1"/>
        <v/>
      </c>
    </row>
    <row r="19" spans="2:36" x14ac:dyDescent="0.25">
      <c r="C19" t="str" cm="1">
        <f t="array" ref="C19">IF(B19&lt;&gt;0, INDEX('Agent Activity'!$C:$C, MATCH(1, ('Agent Activity'!$R:$R=B19)*('Agent Activity'!$O:$O=$C$1), 0)), "")</f>
        <v/>
      </c>
      <c r="G19" t="str">
        <f>IF(F19&lt;&gt;0,SUMIFS('Agent Activity'!$C:$C, 'Agent Activity'!$R:$R, F19, 'Agent Activity'!$Q:$Q, $G$1),"")</f>
        <v/>
      </c>
      <c r="Q19" s="3">
        <v>45958</v>
      </c>
      <c r="AB19" s="7" t="str">
        <f t="shared" si="0"/>
        <v/>
      </c>
      <c r="AI19" s="9" t="str">
        <f t="shared" si="1"/>
        <v/>
      </c>
    </row>
    <row r="20" spans="2:36" x14ac:dyDescent="0.25">
      <c r="C20" t="str" cm="1">
        <f t="array" ref="C20">IF(B20&lt;&gt;0, INDEX('Agent Activity'!$C:$C, MATCH(1, ('Agent Activity'!$R:$R=B20)*('Agent Activity'!$O:$O=$C$1), 0)), "")</f>
        <v/>
      </c>
      <c r="G20" t="str">
        <f>IF(F20&lt;&gt;0,SUMIFS('Agent Activity'!$C:$C, 'Agent Activity'!$R:$R, F20, 'Agent Activity'!$Q:$Q, $G$1),"")</f>
        <v/>
      </c>
      <c r="Q20" s="3">
        <v>45959</v>
      </c>
      <c r="AB20" s="7" t="str">
        <f t="shared" si="0"/>
        <v/>
      </c>
      <c r="AI20" s="9" t="str">
        <f t="shared" si="1"/>
        <v/>
      </c>
    </row>
    <row r="21" spans="2:36" x14ac:dyDescent="0.25">
      <c r="C21" t="str" cm="1">
        <f t="array" ref="C21">IF(B21&lt;&gt;0, INDEX('Agent Activity'!$C:$C, MATCH(1, ('Agent Activity'!$R:$R=B21)*('Agent Activity'!$O:$O=$C$1), 0)), "")</f>
        <v/>
      </c>
      <c r="G21" t="str">
        <f>IF(F21&lt;&gt;0,SUMIFS('Agent Activity'!$C:$C, 'Agent Activity'!$R:$R, F21, 'Agent Activity'!$Q:$Q, $G$1),"")</f>
        <v/>
      </c>
      <c r="Q21" s="3">
        <v>45960</v>
      </c>
      <c r="AB21" s="7" t="str">
        <f t="shared" si="0"/>
        <v/>
      </c>
      <c r="AI21" s="9" t="str">
        <f t="shared" si="1"/>
        <v/>
      </c>
    </row>
    <row r="22" spans="2:36" x14ac:dyDescent="0.25">
      <c r="C22" t="str" cm="1">
        <f t="array" ref="C22">IF(B22&lt;&gt;0, INDEX('Agent Activity'!$C:$C, MATCH(1, ('Agent Activity'!$R:$R=B22)*('Agent Activity'!$O:$O=$C$1), 0)), "")</f>
        <v/>
      </c>
      <c r="G22" t="str">
        <f>IF(F22&lt;&gt;0,SUMIFS('Agent Activity'!$C:$C, 'Agent Activity'!$R:$R, F22, 'Agent Activity'!$Q:$Q, $G$1),"")</f>
        <v/>
      </c>
      <c r="Q22" s="3">
        <v>45961</v>
      </c>
      <c r="AB22" s="7" t="str">
        <f t="shared" si="0"/>
        <v/>
      </c>
      <c r="AI22" s="9" t="str">
        <f t="shared" si="1"/>
        <v/>
      </c>
    </row>
    <row r="23" spans="2:36" x14ac:dyDescent="0.25">
      <c r="C23" t="str" cm="1">
        <f t="array" ref="C23">IF(B23&lt;&gt;0, INDEX('Agent Activity'!$C:$C, MATCH(1, ('Agent Activity'!$R:$R=B23)*('Agent Activity'!$O:$O=$C$1), 0)), "")</f>
        <v/>
      </c>
      <c r="G23" t="str">
        <f>IF(F23&lt;&gt;0,SUMIFS('Agent Activity'!$C:$C, 'Agent Activity'!$R:$R, F23, 'Agent Activity'!$Q:$Q, $G$1),"")</f>
        <v/>
      </c>
      <c r="Q23" s="3">
        <v>45964</v>
      </c>
      <c r="AB23" s="7" t="str">
        <f t="shared" si="0"/>
        <v/>
      </c>
      <c r="AI23" s="9" t="str">
        <f t="shared" si="1"/>
        <v/>
      </c>
    </row>
    <row r="24" spans="2:36" x14ac:dyDescent="0.25">
      <c r="C24" t="str" cm="1">
        <f t="array" ref="C24">IF(B24&lt;&gt;0, INDEX('Agent Activity'!$C:$C, MATCH(1, ('Agent Activity'!$R:$R=B24)*('Agent Activity'!$O:$O=$C$1), 0)), "")</f>
        <v/>
      </c>
      <c r="G24" t="str">
        <f>IF(F24&lt;&gt;0,SUMIFS('Agent Activity'!$C:$C, 'Agent Activity'!$R:$R, F24, 'Agent Activity'!$Q:$Q, $G$1),"")</f>
        <v/>
      </c>
      <c r="Q24" s="3">
        <v>45965</v>
      </c>
      <c r="AB24" s="7" t="str">
        <f t="shared" si="0"/>
        <v/>
      </c>
      <c r="AI24" s="9" t="str">
        <f t="shared" si="1"/>
        <v/>
      </c>
    </row>
    <row r="25" spans="2:36" x14ac:dyDescent="0.25">
      <c r="C25" t="str" cm="1">
        <f t="array" ref="C25">IF(B25&lt;&gt;0, INDEX('Agent Activity'!$C:$C, MATCH(1, ('Agent Activity'!$R:$R=B25)*('Agent Activity'!$O:$O=$C$1), 0)), "")</f>
        <v/>
      </c>
      <c r="G25" t="str">
        <f>IF(F25&lt;&gt;0,SUMIFS('Agent Activity'!$C:$C, 'Agent Activity'!$R:$R, F25, 'Agent Activity'!$Q:$Q, $G$1),"")</f>
        <v/>
      </c>
      <c r="Q25" s="3">
        <v>45966</v>
      </c>
      <c r="AB25" s="7" t="str">
        <f t="shared" si="0"/>
        <v/>
      </c>
      <c r="AI25" s="9" t="str">
        <f t="shared" si="1"/>
        <v/>
      </c>
    </row>
    <row r="26" spans="2:36" s="18" customFormat="1" x14ac:dyDescent="0.25">
      <c r="C26" s="18" t="str" cm="1">
        <f t="array" ref="C26">IF(B26&lt;&gt;0, INDEX('Agent Activity'!$C:$C, MATCH(1, ('Agent Activity'!$R:$R=B26)*('Agent Activity'!$O:$O=$C$1), 0)), "")</f>
        <v/>
      </c>
      <c r="G26" s="18" t="str">
        <f>IF(F26&lt;&gt;0,SUMIFS('Agent Activity'!$C:$C, 'Agent Activity'!$R:$R, F26, 'Agent Activity'!$Q:$Q, $G$1),"")</f>
        <v/>
      </c>
      <c r="Q26" s="4">
        <v>45967</v>
      </c>
      <c r="R26" s="4"/>
      <c r="S26" s="4"/>
      <c r="T26" s="4"/>
      <c r="Y26" s="19"/>
      <c r="Z26" s="20"/>
      <c r="AA26" s="21"/>
      <c r="AB26" s="22" t="str">
        <f t="shared" si="0"/>
        <v/>
      </c>
      <c r="AC26" s="22"/>
      <c r="AD26" s="23"/>
      <c r="AE26" s="23"/>
      <c r="AF26" s="19"/>
      <c r="AG26" s="19"/>
      <c r="AH26" s="19"/>
      <c r="AI26" s="19" t="str">
        <f t="shared" si="1"/>
        <v/>
      </c>
      <c r="AJ26" s="21"/>
    </row>
    <row r="27" spans="2:36" x14ac:dyDescent="0.25">
      <c r="Q27" s="3">
        <v>45968</v>
      </c>
    </row>
    <row r="28" spans="2:36" x14ac:dyDescent="0.25">
      <c r="Q28" s="3">
        <v>45971</v>
      </c>
    </row>
    <row r="29" spans="2:36" x14ac:dyDescent="0.25">
      <c r="Q29" s="3">
        <v>45972</v>
      </c>
    </row>
    <row r="30" spans="2:36" x14ac:dyDescent="0.25">
      <c r="Q30" s="3">
        <v>45973</v>
      </c>
    </row>
    <row r="31" spans="2:36" x14ac:dyDescent="0.25">
      <c r="B31" t="str">
        <f>IF(B3&lt;&gt;0,_xlfn.TEXTJOIN("   ",FALSE,B3:C3),"")</f>
        <v>Calls In:   118</v>
      </c>
      <c r="F31" t="str">
        <f>IF(F3&lt;&gt;0,_xlfn.TEXTJOIN("   ",FALSE,F3:G3),"")</f>
        <v>Calls In:   712</v>
      </c>
      <c r="Q31" s="3">
        <v>45974</v>
      </c>
    </row>
    <row r="32" spans="2:36" x14ac:dyDescent="0.25">
      <c r="B32" t="str">
        <f t="shared" ref="B32:B54" si="2">IF(B4&lt;&gt;0,_xlfn.TEXTJOIN("   ",FALSE,B4:C4),"")</f>
        <v>Abandoned:   8</v>
      </c>
      <c r="F32" t="str">
        <f t="shared" ref="F32:F35" si="3">IF(F4&lt;&gt;0,_xlfn.TEXTJOIN("   ",FALSE,F4:G4),"")</f>
        <v>Abandoned:   29</v>
      </c>
      <c r="Q32" s="3">
        <v>45975</v>
      </c>
    </row>
    <row r="33" spans="2:17" x14ac:dyDescent="0.25">
      <c r="B33" t="str">
        <f t="shared" si="2"/>
        <v>Calls Out:   99</v>
      </c>
      <c r="F33" t="str">
        <f t="shared" si="3"/>
        <v>Calls Out:   673</v>
      </c>
      <c r="Q33" s="3">
        <v>45978</v>
      </c>
    </row>
    <row r="34" spans="2:17" x14ac:dyDescent="0.25">
      <c r="B34" t="str">
        <f t="shared" si="2"/>
        <v>Total Calls:   209</v>
      </c>
      <c r="F34" t="str">
        <f t="shared" si="3"/>
        <v>Total Calls:   1385</v>
      </c>
      <c r="Q34" s="3">
        <v>45979</v>
      </c>
    </row>
    <row r="35" spans="2:17" x14ac:dyDescent="0.25">
      <c r="B35" t="str">
        <f t="shared" si="2"/>
        <v/>
      </c>
      <c r="F35" t="str">
        <f t="shared" si="3"/>
        <v/>
      </c>
      <c r="Q35" s="3">
        <v>45981</v>
      </c>
    </row>
    <row r="36" spans="2:17" x14ac:dyDescent="0.25">
      <c r="B36" t="str">
        <f>_xlfn.TEXTJOIN("   ",FALSE,B8,TEXT(C8,"0.00%"))</f>
        <v>Abandonment:   6.78%</v>
      </c>
      <c r="F36" t="str">
        <f>_xlfn.TEXTJOIN("   ",FALSE,F8,TEXT(G8,"0.00%"))</f>
        <v>Weekly Abandonment:   4.12%</v>
      </c>
      <c r="Q36" s="3">
        <v>45982</v>
      </c>
    </row>
    <row r="37" spans="2:17" x14ac:dyDescent="0.25">
      <c r="B37" t="str">
        <f>_xlfn.TEXTJOIN("   ",FALSE,B9,TEXT(C9,"0.00%"))</f>
        <v>Monthly Average:   4.57%</v>
      </c>
      <c r="F37" t="str">
        <f>_xlfn.TEXTJOIN("   ",FALSE,F9,TEXT(G9,"0.00%"))</f>
        <v>Monthly Average:   4.15%</v>
      </c>
      <c r="Q37" s="3">
        <v>45999</v>
      </c>
    </row>
    <row r="38" spans="2:17" x14ac:dyDescent="0.25">
      <c r="B38" t="str">
        <f t="shared" si="2"/>
        <v/>
      </c>
      <c r="F38" t="str">
        <f t="shared" ref="F38:F54" si="4">IF(F10&lt;&gt;0,_xlfn.TEXTJOIN("   ",FALSE,F10:G10),"")</f>
        <v/>
      </c>
      <c r="Q38" s="3">
        <v>46000</v>
      </c>
    </row>
    <row r="39" spans="2:17" x14ac:dyDescent="0.25">
      <c r="B39" t="str">
        <f t="shared" si="2"/>
        <v>Allison   3</v>
      </c>
      <c r="F39" t="str">
        <f t="shared" si="4"/>
        <v>Allison   41</v>
      </c>
      <c r="Q39" s="3">
        <v>46001</v>
      </c>
    </row>
    <row r="40" spans="2:17" x14ac:dyDescent="0.25">
      <c r="B40" t="str">
        <f t="shared" si="2"/>
        <v>Karen   11</v>
      </c>
      <c r="F40" t="str">
        <f t="shared" si="4"/>
        <v>Grey   157</v>
      </c>
      <c r="Q40" s="3">
        <v>46002</v>
      </c>
    </row>
    <row r="41" spans="2:17" x14ac:dyDescent="0.25">
      <c r="B41" t="str">
        <f t="shared" si="2"/>
        <v>Nicole   12</v>
      </c>
      <c r="F41" t="str">
        <f t="shared" si="4"/>
        <v>Karen   30</v>
      </c>
      <c r="Q41" s="3">
        <v>46003</v>
      </c>
    </row>
    <row r="42" spans="2:17" x14ac:dyDescent="0.25">
      <c r="B42" t="str">
        <f t="shared" si="2"/>
        <v>Nissa   26</v>
      </c>
      <c r="F42" t="str">
        <f t="shared" si="4"/>
        <v>Nicole   48</v>
      </c>
      <c r="Q42" s="3">
        <v>45992</v>
      </c>
    </row>
    <row r="43" spans="2:17" x14ac:dyDescent="0.25">
      <c r="B43" t="str">
        <f t="shared" si="2"/>
        <v>Ruth   44</v>
      </c>
      <c r="F43" t="str">
        <f t="shared" si="4"/>
        <v>Nissa   105</v>
      </c>
      <c r="Q43" s="3">
        <v>45993</v>
      </c>
    </row>
    <row r="44" spans="2:17" x14ac:dyDescent="0.25">
      <c r="B44" t="str">
        <f t="shared" si="2"/>
        <v>Teri   12</v>
      </c>
      <c r="F44" t="str">
        <f t="shared" si="4"/>
        <v>Ruth   161</v>
      </c>
      <c r="Q44" s="3">
        <v>45994</v>
      </c>
    </row>
    <row r="45" spans="2:17" x14ac:dyDescent="0.25">
      <c r="B45" t="str">
        <f t="shared" si="2"/>
        <v/>
      </c>
      <c r="F45" t="str">
        <f t="shared" si="4"/>
        <v>Serena   80</v>
      </c>
      <c r="Q45" s="3">
        <v>45995</v>
      </c>
    </row>
    <row r="46" spans="2:17" x14ac:dyDescent="0.25">
      <c r="B46" t="str">
        <f t="shared" si="2"/>
        <v/>
      </c>
      <c r="F46" t="str">
        <f t="shared" si="4"/>
        <v>Teri   90</v>
      </c>
      <c r="Q46" s="3">
        <v>45996</v>
      </c>
    </row>
    <row r="47" spans="2:17" x14ac:dyDescent="0.25">
      <c r="B47" t="str">
        <f t="shared" si="2"/>
        <v/>
      </c>
      <c r="F47" t="str">
        <f t="shared" si="4"/>
        <v/>
      </c>
      <c r="Q47" s="3">
        <v>45985</v>
      </c>
    </row>
    <row r="48" spans="2:17" x14ac:dyDescent="0.25">
      <c r="B48" t="str">
        <f t="shared" si="2"/>
        <v/>
      </c>
      <c r="F48" t="str">
        <f t="shared" si="4"/>
        <v/>
      </c>
      <c r="Q48" s="3">
        <v>45986</v>
      </c>
    </row>
    <row r="49" spans="2:17" x14ac:dyDescent="0.25">
      <c r="B49" t="str">
        <f t="shared" si="2"/>
        <v/>
      </c>
      <c r="F49" t="str">
        <f t="shared" si="4"/>
        <v/>
      </c>
      <c r="Q49" s="3">
        <v>45987</v>
      </c>
    </row>
    <row r="50" spans="2:17" x14ac:dyDescent="0.25">
      <c r="B50" t="str">
        <f t="shared" si="2"/>
        <v/>
      </c>
      <c r="F50" t="str">
        <f t="shared" si="4"/>
        <v/>
      </c>
      <c r="Q50" s="3">
        <v>46006</v>
      </c>
    </row>
    <row r="51" spans="2:17" x14ac:dyDescent="0.25">
      <c r="B51" t="str">
        <f t="shared" si="2"/>
        <v/>
      </c>
      <c r="F51" t="str">
        <f t="shared" si="4"/>
        <v/>
      </c>
      <c r="Q51" s="3">
        <v>46007</v>
      </c>
    </row>
    <row r="52" spans="2:17" x14ac:dyDescent="0.25">
      <c r="B52" t="str">
        <f t="shared" si="2"/>
        <v/>
      </c>
      <c r="F52" t="str">
        <f t="shared" si="4"/>
        <v/>
      </c>
      <c r="Q52" s="3">
        <v>46008</v>
      </c>
    </row>
    <row r="53" spans="2:17" x14ac:dyDescent="0.25">
      <c r="B53" t="str">
        <f t="shared" si="2"/>
        <v/>
      </c>
      <c r="F53" t="str">
        <f t="shared" si="4"/>
        <v/>
      </c>
      <c r="Q53" s="3">
        <v>46009</v>
      </c>
    </row>
    <row r="54" spans="2:17" x14ac:dyDescent="0.25">
      <c r="B54" s="18" t="str">
        <f t="shared" si="2"/>
        <v/>
      </c>
      <c r="F54" s="18" t="str">
        <f t="shared" si="4"/>
        <v/>
      </c>
      <c r="Q54" s="3">
        <v>46010</v>
      </c>
    </row>
  </sheetData>
  <mergeCells count="2">
    <mergeCell ref="J3:K3"/>
    <mergeCell ref="J4:K4"/>
  </mergeCells>
  <conditionalFormatting sqref="C11:C26">
    <cfRule type="top10" dxfId="1" priority="1" rank="1"/>
  </conditionalFormatting>
  <conditionalFormatting sqref="G11:G26">
    <cfRule type="top10" dxfId="0" priority="2" rank="1"/>
  </conditionalFormatting>
  <dataValidations count="2">
    <dataValidation type="list" allowBlank="1" showInputMessage="1" showErrorMessage="1" sqref="G1" xr:uid="{356974C3-F682-4B62-B679-9B8E489F62CB}">
      <formula1>Weeks</formula1>
    </dataValidation>
    <dataValidation type="list" allowBlank="1" showInputMessage="1" showErrorMessage="1" sqref="C1" xr:uid="{F44D3918-74D8-4FF3-8B67-8A3E9D0E1531}">
      <formula1>Dates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E5B3-F2ED-4705-B12E-DDFDB3F07672}">
  <sheetPr codeName="Sheet3"/>
  <dimension ref="A1:N4"/>
  <sheetViews>
    <sheetView workbookViewId="0">
      <selection activeCell="B2" sqref="B2"/>
    </sheetView>
  </sheetViews>
  <sheetFormatPr defaultRowHeight="15" x14ac:dyDescent="0.25"/>
  <cols>
    <col min="1" max="1" width="13.5703125" bestFit="1" customWidth="1"/>
  </cols>
  <sheetData>
    <row r="1" spans="1:14" x14ac:dyDescent="0.25">
      <c r="A1" t="s">
        <v>30</v>
      </c>
      <c r="B1">
        <v>1</v>
      </c>
      <c r="M1" s="44"/>
      <c r="N1" s="44"/>
    </row>
    <row r="2" spans="1:14" x14ac:dyDescent="0.25">
      <c r="A2" s="37" t="s">
        <v>31</v>
      </c>
      <c r="B2" s="45"/>
      <c r="C2" s="45"/>
      <c r="D2" s="46"/>
    </row>
    <row r="3" spans="1:14" x14ac:dyDescent="0.25">
      <c r="A3" s="37" t="s">
        <v>32</v>
      </c>
      <c r="B3" s="45"/>
      <c r="C3" s="45"/>
      <c r="D3" s="46"/>
    </row>
    <row r="4" spans="1:14" x14ac:dyDescent="0.25">
      <c r="A4" s="37" t="s">
        <v>33</v>
      </c>
      <c r="B4" s="45"/>
      <c r="C4" s="45"/>
      <c r="D4" s="46"/>
    </row>
  </sheetData>
  <mergeCells count="4">
    <mergeCell ref="M1:N1"/>
    <mergeCell ref="B2:D2"/>
    <mergeCell ref="B3:D3"/>
    <mergeCell ref="B4:D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7C4C-2C3F-4B53-98AA-E1885A4252FB}">
  <sheetPr codeName="Sheet4"/>
  <dimension ref="A1:R197"/>
  <sheetViews>
    <sheetView topLeftCell="A25" workbookViewId="0">
      <selection activeCell="B2" sqref="B2"/>
    </sheetView>
  </sheetViews>
  <sheetFormatPr defaultRowHeight="15" x14ac:dyDescent="0.25"/>
  <cols>
    <col min="4" max="5" width="9.140625" style="27"/>
    <col min="7" max="7" width="12.42578125" style="27" bestFit="1" customWidth="1"/>
    <col min="8" max="8" width="12" style="27" bestFit="1" customWidth="1"/>
    <col min="9" max="9" width="11.5703125" style="27" bestFit="1" customWidth="1"/>
    <col min="13" max="13" width="12.42578125" style="27" bestFit="1" customWidth="1"/>
    <col min="14" max="14" width="12" style="27" bestFit="1" customWidth="1"/>
    <col min="15" max="15" width="12.140625" style="3" customWidth="1"/>
    <col min="17" max="17" width="10.7109375" bestFit="1" customWidth="1"/>
    <col min="18" max="18" width="9.140625" style="26"/>
  </cols>
  <sheetData>
    <row r="1" spans="1:18" x14ac:dyDescent="0.25">
      <c r="A1" s="24" t="s">
        <v>34</v>
      </c>
      <c r="B1" s="24" t="s">
        <v>35</v>
      </c>
      <c r="C1" s="24" t="s">
        <v>36</v>
      </c>
      <c r="D1" s="25" t="s">
        <v>37</v>
      </c>
      <c r="E1" s="25" t="s">
        <v>38</v>
      </c>
      <c r="F1" s="24" t="s">
        <v>39</v>
      </c>
      <c r="G1" s="25" t="s">
        <v>40</v>
      </c>
      <c r="H1" s="25" t="s">
        <v>41</v>
      </c>
      <c r="I1" s="25" t="s">
        <v>42</v>
      </c>
      <c r="J1" s="24" t="s">
        <v>43</v>
      </c>
      <c r="K1" s="24" t="s">
        <v>44</v>
      </c>
      <c r="L1" s="24" t="s">
        <v>35</v>
      </c>
      <c r="M1" s="25" t="s">
        <v>40</v>
      </c>
      <c r="N1" s="25" t="s">
        <v>41</v>
      </c>
      <c r="O1" s="2" t="s">
        <v>1</v>
      </c>
      <c r="P1" s="24" t="s">
        <v>45</v>
      </c>
      <c r="Q1" s="24" t="s">
        <v>46</v>
      </c>
      <c r="R1" s="26" t="s">
        <v>47</v>
      </c>
    </row>
    <row r="2" spans="1:18" x14ac:dyDescent="0.25">
      <c r="A2">
        <v>0</v>
      </c>
      <c r="B2">
        <v>0</v>
      </c>
      <c r="C2">
        <v>0</v>
      </c>
      <c r="D2" s="27">
        <v>0</v>
      </c>
      <c r="E2" s="27">
        <v>0</v>
      </c>
      <c r="F2">
        <v>0</v>
      </c>
      <c r="G2" s="27">
        <v>0</v>
      </c>
      <c r="H2" s="27">
        <v>0</v>
      </c>
      <c r="I2" s="27">
        <v>0</v>
      </c>
      <c r="J2">
        <v>0</v>
      </c>
      <c r="K2">
        <v>0</v>
      </c>
      <c r="L2">
        <v>0</v>
      </c>
      <c r="M2" s="27">
        <v>0</v>
      </c>
      <c r="N2" s="27" t="s">
        <v>11</v>
      </c>
      <c r="O2" s="3">
        <v>36892</v>
      </c>
      <c r="P2" t="s">
        <v>48</v>
      </c>
      <c r="Q2" s="3">
        <v>36892</v>
      </c>
      <c r="R2" s="26">
        <v>5</v>
      </c>
    </row>
    <row r="3" spans="1:18" x14ac:dyDescent="0.25">
      <c r="A3">
        <v>4.3099999999999996</v>
      </c>
      <c r="B3">
        <v>130</v>
      </c>
      <c r="C3">
        <v>121</v>
      </c>
      <c r="D3" s="27">
        <v>4.1666666666666669E-4</v>
      </c>
      <c r="E3" s="27">
        <v>2.3263888888888887E-3</v>
      </c>
      <c r="F3">
        <v>71.650000000000006</v>
      </c>
      <c r="G3" s="27">
        <v>2.3148148148148147E-3</v>
      </c>
      <c r="H3" s="27">
        <v>0.28023148148148147</v>
      </c>
      <c r="I3" s="27">
        <v>5.7870370370370367E-3</v>
      </c>
      <c r="J3">
        <v>9</v>
      </c>
      <c r="K3">
        <v>6.92</v>
      </c>
      <c r="L3">
        <v>107</v>
      </c>
      <c r="M3" s="27">
        <v>1.5393518518518519E-3</v>
      </c>
      <c r="N3" s="27">
        <v>0.16427083333333334</v>
      </c>
      <c r="O3" s="3">
        <v>45931</v>
      </c>
      <c r="P3" t="s">
        <v>49</v>
      </c>
      <c r="Q3" s="3">
        <v>45929</v>
      </c>
      <c r="R3" s="26">
        <v>5</v>
      </c>
    </row>
    <row r="4" spans="1:18" x14ac:dyDescent="0.25">
      <c r="A4">
        <v>4.99</v>
      </c>
      <c r="B4">
        <v>119</v>
      </c>
      <c r="C4">
        <v>116</v>
      </c>
      <c r="D4" s="27">
        <v>3.3564814814814812E-4</v>
      </c>
      <c r="E4" s="27">
        <v>5.0694444444444441E-3</v>
      </c>
      <c r="F4">
        <v>82.2</v>
      </c>
      <c r="G4" s="27">
        <v>1.7824074074074075E-3</v>
      </c>
      <c r="H4" s="27">
        <v>0.20731481481481481</v>
      </c>
      <c r="I4" s="27">
        <v>5.7986111111111112E-3</v>
      </c>
      <c r="J4">
        <v>3</v>
      </c>
      <c r="K4">
        <v>2.52</v>
      </c>
      <c r="L4">
        <v>109</v>
      </c>
      <c r="M4" s="27">
        <v>1.0763888888888889E-3</v>
      </c>
      <c r="N4" s="27">
        <v>0.11773148148148148</v>
      </c>
      <c r="O4" s="3">
        <v>45932</v>
      </c>
      <c r="P4" t="s">
        <v>49</v>
      </c>
      <c r="Q4" s="3">
        <v>45929</v>
      </c>
      <c r="R4" s="26">
        <v>5</v>
      </c>
    </row>
    <row r="5" spans="1:18" x14ac:dyDescent="0.25">
      <c r="A5">
        <v>1.61</v>
      </c>
      <c r="B5">
        <v>243</v>
      </c>
      <c r="C5">
        <v>236</v>
      </c>
      <c r="D5" s="27">
        <v>4.6296296296296298E-4</v>
      </c>
      <c r="E5" s="27">
        <v>5.0694444444444441E-3</v>
      </c>
      <c r="F5">
        <v>78.33</v>
      </c>
      <c r="G5" s="27">
        <v>1.9675925925925924E-3</v>
      </c>
      <c r="H5" s="27">
        <v>0.46417824074074077</v>
      </c>
      <c r="I5" s="27">
        <v>5.5671296296296293E-3</v>
      </c>
      <c r="J5">
        <v>7</v>
      </c>
      <c r="K5">
        <v>2.88</v>
      </c>
      <c r="L5">
        <v>188</v>
      </c>
      <c r="M5" s="27">
        <v>1.2152777777777778E-3</v>
      </c>
      <c r="N5" s="27">
        <v>0.22740740740740742</v>
      </c>
      <c r="O5" s="3">
        <v>45933</v>
      </c>
      <c r="P5" t="s">
        <v>49</v>
      </c>
      <c r="Q5" s="3">
        <v>45929</v>
      </c>
      <c r="R5" s="26">
        <v>5</v>
      </c>
    </row>
    <row r="6" spans="1:18" x14ac:dyDescent="0.25">
      <c r="A6">
        <v>3.34</v>
      </c>
      <c r="B6">
        <v>185</v>
      </c>
      <c r="C6">
        <v>177</v>
      </c>
      <c r="D6" s="27">
        <v>4.0509259259259258E-4</v>
      </c>
      <c r="E6" s="27">
        <v>2.5520833333333333E-2</v>
      </c>
      <c r="F6">
        <v>74.180000000000007</v>
      </c>
      <c r="G6" s="27">
        <v>2.0833333333333333E-3</v>
      </c>
      <c r="H6" s="27">
        <v>0.36907407407407405</v>
      </c>
      <c r="I6" s="27">
        <v>5.5092592592592589E-3</v>
      </c>
      <c r="J6">
        <v>8</v>
      </c>
      <c r="K6">
        <v>4.32</v>
      </c>
      <c r="L6">
        <v>155</v>
      </c>
      <c r="M6" s="27">
        <v>1.5740740740740741E-3</v>
      </c>
      <c r="N6" s="27">
        <v>0.24335648148148148</v>
      </c>
      <c r="O6" s="3">
        <v>45936</v>
      </c>
      <c r="P6" t="s">
        <v>49</v>
      </c>
      <c r="Q6" s="3">
        <v>45936</v>
      </c>
      <c r="R6" s="26">
        <v>5</v>
      </c>
    </row>
    <row r="7" spans="1:18" x14ac:dyDescent="0.25">
      <c r="A7">
        <v>3.35</v>
      </c>
      <c r="B7">
        <v>137</v>
      </c>
      <c r="C7">
        <v>124</v>
      </c>
      <c r="D7" s="27">
        <v>4.2824074074074075E-4</v>
      </c>
      <c r="E7" s="27">
        <v>3.7962962962962963E-3</v>
      </c>
      <c r="F7">
        <v>79.2</v>
      </c>
      <c r="G7" s="27">
        <v>2.0949074074074073E-3</v>
      </c>
      <c r="H7" s="27">
        <v>0.26021990740740741</v>
      </c>
      <c r="I7" s="27">
        <v>6.145833333333333E-3</v>
      </c>
      <c r="J7">
        <v>13</v>
      </c>
      <c r="K7">
        <v>9.49</v>
      </c>
      <c r="L7">
        <v>177</v>
      </c>
      <c r="M7" s="27">
        <v>1.0300925925925926E-3</v>
      </c>
      <c r="N7" s="27">
        <v>0.18240740740740741</v>
      </c>
      <c r="O7" s="3">
        <v>45937</v>
      </c>
      <c r="P7" t="s">
        <v>49</v>
      </c>
      <c r="Q7" s="3">
        <v>45936</v>
      </c>
      <c r="R7" s="26">
        <v>5</v>
      </c>
    </row>
    <row r="8" spans="1:18" x14ac:dyDescent="0.25">
      <c r="A8">
        <v>2.4900000000000002</v>
      </c>
      <c r="B8">
        <v>131</v>
      </c>
      <c r="C8">
        <v>127</v>
      </c>
      <c r="D8" s="27">
        <v>5.0925925925925921E-4</v>
      </c>
      <c r="E8" s="27">
        <v>4.0277777777777777E-3</v>
      </c>
      <c r="F8">
        <v>68.22</v>
      </c>
      <c r="G8" s="27">
        <v>2.2337962962962962E-3</v>
      </c>
      <c r="H8" s="27">
        <v>0.28313657407407405</v>
      </c>
      <c r="I8" s="27">
        <v>4.178240740740741E-3</v>
      </c>
      <c r="J8">
        <v>4</v>
      </c>
      <c r="K8">
        <v>3.05</v>
      </c>
      <c r="L8">
        <v>83</v>
      </c>
      <c r="M8" s="27">
        <v>1.4467592592592592E-3</v>
      </c>
      <c r="N8" s="27">
        <v>0.11976851851851852</v>
      </c>
      <c r="O8" s="3">
        <v>45938</v>
      </c>
      <c r="P8" t="s">
        <v>49</v>
      </c>
      <c r="Q8" s="3">
        <v>45936</v>
      </c>
      <c r="R8" s="26">
        <v>5</v>
      </c>
    </row>
    <row r="9" spans="1:18" x14ac:dyDescent="0.25">
      <c r="A9">
        <v>4.68</v>
      </c>
      <c r="B9">
        <v>149</v>
      </c>
      <c r="C9">
        <v>137</v>
      </c>
      <c r="D9" s="27">
        <v>5.2083333333333333E-4</v>
      </c>
      <c r="E9" s="27">
        <v>4.4907407407407405E-3</v>
      </c>
      <c r="F9">
        <v>68.75</v>
      </c>
      <c r="G9" s="27">
        <v>2.0833333333333333E-3</v>
      </c>
      <c r="H9" s="27">
        <v>0.2848148148148148</v>
      </c>
      <c r="I9" s="27">
        <v>5.6481481481481478E-3</v>
      </c>
      <c r="J9">
        <v>12</v>
      </c>
      <c r="K9">
        <v>8.0500000000000007</v>
      </c>
      <c r="L9">
        <v>231</v>
      </c>
      <c r="M9" s="27">
        <v>1.1574074074074073E-3</v>
      </c>
      <c r="N9" s="27">
        <v>0.26815972222222223</v>
      </c>
      <c r="O9" s="3">
        <v>45939</v>
      </c>
      <c r="P9" t="s">
        <v>49</v>
      </c>
      <c r="Q9" s="3">
        <v>45936</v>
      </c>
      <c r="R9" s="26">
        <v>5</v>
      </c>
    </row>
    <row r="10" spans="1:18" x14ac:dyDescent="0.25">
      <c r="A10">
        <v>5.01</v>
      </c>
      <c r="B10">
        <v>125</v>
      </c>
      <c r="C10">
        <v>120</v>
      </c>
      <c r="D10" s="27">
        <v>5.0925925925925921E-4</v>
      </c>
      <c r="E10" s="27">
        <v>3.414351851851852E-3</v>
      </c>
      <c r="F10">
        <v>71.540000000000006</v>
      </c>
      <c r="G10" s="27">
        <v>1.9444444444444444E-3</v>
      </c>
      <c r="H10" s="27">
        <v>0.23298611111111112</v>
      </c>
      <c r="I10" s="27">
        <v>5.9953703703703705E-3</v>
      </c>
      <c r="J10">
        <v>5</v>
      </c>
      <c r="K10">
        <v>4</v>
      </c>
      <c r="L10">
        <v>164</v>
      </c>
      <c r="M10" s="27">
        <v>1.4004629629629629E-3</v>
      </c>
      <c r="N10" s="27">
        <v>0.22931712962962963</v>
      </c>
      <c r="O10" s="3">
        <v>45940</v>
      </c>
      <c r="P10" t="s">
        <v>49</v>
      </c>
      <c r="Q10" s="3">
        <v>45936</v>
      </c>
      <c r="R10" s="26">
        <v>5</v>
      </c>
    </row>
    <row r="11" spans="1:18" x14ac:dyDescent="0.25">
      <c r="A11">
        <v>4.1500000000000004</v>
      </c>
      <c r="B11">
        <v>157</v>
      </c>
      <c r="C11">
        <v>156</v>
      </c>
      <c r="D11" s="27">
        <v>2.199074074074074E-4</v>
      </c>
      <c r="E11" s="27">
        <v>3.9236111111111112E-3</v>
      </c>
      <c r="F11">
        <v>90.38</v>
      </c>
      <c r="G11" s="27">
        <v>2.0138888888888888E-3</v>
      </c>
      <c r="H11" s="27">
        <v>0.31418981481481484</v>
      </c>
      <c r="I11" s="27">
        <v>4.1898148148148146E-3</v>
      </c>
      <c r="J11">
        <v>1</v>
      </c>
      <c r="K11">
        <v>0.64</v>
      </c>
      <c r="L11">
        <v>176</v>
      </c>
      <c r="M11" s="27">
        <v>1.2962962962962963E-3</v>
      </c>
      <c r="N11" s="27">
        <v>0.22891203703703702</v>
      </c>
      <c r="O11" s="3">
        <v>45943</v>
      </c>
      <c r="P11" t="s">
        <v>49</v>
      </c>
      <c r="Q11" s="3">
        <v>45943</v>
      </c>
      <c r="R11" s="26">
        <v>5</v>
      </c>
    </row>
    <row r="12" spans="1:18" x14ac:dyDescent="0.25">
      <c r="A12">
        <v>4.7300000000000004</v>
      </c>
      <c r="B12">
        <v>139</v>
      </c>
      <c r="C12">
        <v>136</v>
      </c>
      <c r="D12" s="27">
        <v>3.4722222222222224E-4</v>
      </c>
      <c r="E12" s="27">
        <v>3.4027777777777776E-3</v>
      </c>
      <c r="F12">
        <v>83.82</v>
      </c>
      <c r="G12" s="27">
        <v>2.1296296296296298E-3</v>
      </c>
      <c r="H12" s="27">
        <v>0.2901273148148148</v>
      </c>
      <c r="I12" s="27">
        <v>5.1273148148148146E-3</v>
      </c>
      <c r="J12">
        <v>3</v>
      </c>
      <c r="K12">
        <v>2.16</v>
      </c>
      <c r="L12">
        <v>140</v>
      </c>
      <c r="M12" s="27">
        <v>1.4583333333333334E-3</v>
      </c>
      <c r="N12" s="27">
        <v>0.20405092592592591</v>
      </c>
      <c r="O12" s="3">
        <v>45944</v>
      </c>
      <c r="P12" t="s">
        <v>49</v>
      </c>
      <c r="Q12" s="3">
        <v>45943</v>
      </c>
      <c r="R12" s="26">
        <v>5</v>
      </c>
    </row>
    <row r="13" spans="1:18" x14ac:dyDescent="0.25">
      <c r="A13">
        <v>3.93</v>
      </c>
      <c r="B13">
        <v>135</v>
      </c>
      <c r="C13">
        <v>134</v>
      </c>
      <c r="D13" s="27">
        <v>2.4305555555555555E-4</v>
      </c>
      <c r="E13" s="27">
        <v>2.662037037037037E-3</v>
      </c>
      <c r="F13">
        <v>90.3</v>
      </c>
      <c r="G13" s="27">
        <v>2.0254629629629629E-3</v>
      </c>
      <c r="H13" s="27">
        <v>0.27089120370370373</v>
      </c>
      <c r="I13" s="27">
        <v>6.3657407407407404E-3</v>
      </c>
      <c r="J13">
        <v>1</v>
      </c>
      <c r="K13">
        <v>0.74</v>
      </c>
      <c r="L13">
        <v>141</v>
      </c>
      <c r="M13" s="27">
        <v>1.5625000000000001E-3</v>
      </c>
      <c r="N13" s="27">
        <v>0.22009259259259259</v>
      </c>
      <c r="O13" s="3">
        <v>45945</v>
      </c>
      <c r="P13" t="s">
        <v>49</v>
      </c>
      <c r="Q13" s="3">
        <v>45943</v>
      </c>
      <c r="R13" s="26">
        <v>5</v>
      </c>
    </row>
    <row r="14" spans="1:18" x14ac:dyDescent="0.25">
      <c r="A14">
        <v>3.87</v>
      </c>
      <c r="B14">
        <v>153</v>
      </c>
      <c r="C14">
        <v>145</v>
      </c>
      <c r="D14" s="27">
        <v>5.4398148148148144E-4</v>
      </c>
      <c r="E14" s="27">
        <v>2.8124999999999999E-3</v>
      </c>
      <c r="F14">
        <v>66.44</v>
      </c>
      <c r="G14" s="27">
        <v>2.2337962962962962E-3</v>
      </c>
      <c r="H14" s="27">
        <v>0.32393518518518516</v>
      </c>
      <c r="I14" s="27">
        <v>5.3819444444444444E-3</v>
      </c>
      <c r="J14">
        <v>8</v>
      </c>
      <c r="K14">
        <v>5.23</v>
      </c>
      <c r="L14">
        <v>121</v>
      </c>
      <c r="M14" s="27">
        <v>1.2962962962962963E-3</v>
      </c>
      <c r="N14" s="27">
        <v>0.15708333333333332</v>
      </c>
      <c r="O14" s="3">
        <v>45946</v>
      </c>
      <c r="P14" t="s">
        <v>49</v>
      </c>
      <c r="Q14" s="3">
        <v>45943</v>
      </c>
      <c r="R14" s="26">
        <v>5</v>
      </c>
    </row>
    <row r="15" spans="1:18" x14ac:dyDescent="0.25">
      <c r="A15">
        <v>3.92</v>
      </c>
      <c r="B15">
        <v>122</v>
      </c>
      <c r="C15">
        <v>114</v>
      </c>
      <c r="D15" s="27">
        <v>3.4722222222222224E-4</v>
      </c>
      <c r="E15" s="27">
        <v>4.2939814814814811E-3</v>
      </c>
      <c r="F15">
        <v>85.71</v>
      </c>
      <c r="G15" s="27">
        <v>2.1296296296296298E-3</v>
      </c>
      <c r="H15" s="27">
        <v>0.24302083333333332</v>
      </c>
      <c r="I15" s="27">
        <v>6.1111111111111114E-3</v>
      </c>
      <c r="J15">
        <v>8</v>
      </c>
      <c r="K15">
        <v>6.56</v>
      </c>
      <c r="L15">
        <v>86</v>
      </c>
      <c r="M15" s="27">
        <v>1.2152777777777778E-3</v>
      </c>
      <c r="N15" s="27">
        <v>0.10445601851851852</v>
      </c>
      <c r="O15" s="3">
        <v>45947</v>
      </c>
      <c r="P15" t="s">
        <v>49</v>
      </c>
      <c r="Q15" s="3">
        <v>45943</v>
      </c>
      <c r="R15" s="26">
        <v>5</v>
      </c>
    </row>
    <row r="16" spans="1:18" x14ac:dyDescent="0.25">
      <c r="A16">
        <v>3.82</v>
      </c>
      <c r="B16">
        <v>164</v>
      </c>
      <c r="C16">
        <v>154</v>
      </c>
      <c r="D16" s="27">
        <v>4.9768518518518521E-4</v>
      </c>
      <c r="E16" s="27">
        <v>1.2569444444444444E-2</v>
      </c>
      <c r="F16">
        <v>75.16</v>
      </c>
      <c r="G16" s="27">
        <v>3.0092592592592593E-3</v>
      </c>
      <c r="H16" s="27">
        <v>0.46283564814814815</v>
      </c>
      <c r="I16" s="27">
        <v>9.6874999999999999E-3</v>
      </c>
      <c r="J16">
        <v>10</v>
      </c>
      <c r="K16">
        <v>6.1</v>
      </c>
      <c r="L16">
        <v>122</v>
      </c>
      <c r="M16" s="27">
        <v>4.5601851851851853E-3</v>
      </c>
      <c r="N16" s="27">
        <v>0.55592592592592593</v>
      </c>
      <c r="O16" s="3">
        <v>45950</v>
      </c>
      <c r="P16" t="s">
        <v>49</v>
      </c>
      <c r="Q16" s="3">
        <v>45950</v>
      </c>
      <c r="R16" s="26">
        <v>5</v>
      </c>
    </row>
    <row r="17" spans="1:18" x14ac:dyDescent="0.25">
      <c r="A17">
        <v>3.67</v>
      </c>
      <c r="B17">
        <v>140</v>
      </c>
      <c r="C17">
        <v>136</v>
      </c>
      <c r="D17" s="27">
        <v>3.5879629629629629E-4</v>
      </c>
      <c r="E17" s="27">
        <v>3.7847222222222223E-3</v>
      </c>
      <c r="F17">
        <v>78.989999999999995</v>
      </c>
      <c r="G17" s="27">
        <v>2.1990740740740742E-3</v>
      </c>
      <c r="H17" s="27">
        <v>0.29922453703703705</v>
      </c>
      <c r="I17" s="27">
        <v>7.6967592592592591E-3</v>
      </c>
      <c r="J17">
        <v>4</v>
      </c>
      <c r="K17">
        <v>2.86</v>
      </c>
      <c r="L17">
        <v>154</v>
      </c>
      <c r="M17" s="27">
        <v>3.5416666666666665E-3</v>
      </c>
      <c r="N17" s="27">
        <v>0.54552083333333334</v>
      </c>
      <c r="O17" s="3">
        <v>45951</v>
      </c>
      <c r="P17" t="s">
        <v>49</v>
      </c>
      <c r="Q17" s="3">
        <v>45950</v>
      </c>
      <c r="R17" s="26">
        <v>5</v>
      </c>
    </row>
    <row r="18" spans="1:18" x14ac:dyDescent="0.25">
      <c r="A18">
        <v>4.3099999999999996</v>
      </c>
      <c r="B18">
        <v>131</v>
      </c>
      <c r="C18">
        <v>128</v>
      </c>
      <c r="D18" s="27">
        <v>3.9351851851851852E-4</v>
      </c>
      <c r="E18" s="27">
        <v>3.460648148148148E-3</v>
      </c>
      <c r="F18">
        <v>74.05</v>
      </c>
      <c r="G18" s="27">
        <v>2.0370370370370369E-3</v>
      </c>
      <c r="H18" s="27">
        <v>0.26074074074074072</v>
      </c>
      <c r="I18" s="27">
        <v>4.8958333333333336E-3</v>
      </c>
      <c r="J18">
        <v>3</v>
      </c>
      <c r="K18">
        <v>2.29</v>
      </c>
      <c r="L18">
        <v>118</v>
      </c>
      <c r="M18" s="27">
        <v>1.3773148148148147E-3</v>
      </c>
      <c r="N18" s="27">
        <v>0.1630787037037037</v>
      </c>
      <c r="O18" s="3">
        <v>45953</v>
      </c>
      <c r="P18" t="s">
        <v>49</v>
      </c>
      <c r="Q18" s="3">
        <v>45950</v>
      </c>
      <c r="R18" s="26">
        <v>5</v>
      </c>
    </row>
    <row r="19" spans="1:18" x14ac:dyDescent="0.25">
      <c r="A19">
        <v>4.1500000000000004</v>
      </c>
      <c r="B19">
        <v>122</v>
      </c>
      <c r="C19">
        <v>114</v>
      </c>
      <c r="D19" s="27">
        <v>2.7777777777777778E-4</v>
      </c>
      <c r="E19" s="27">
        <v>4.7222222222222223E-3</v>
      </c>
      <c r="F19">
        <v>80.83</v>
      </c>
      <c r="G19" s="27">
        <v>2.3032407407407407E-3</v>
      </c>
      <c r="H19" s="27">
        <v>0.26228009259259261</v>
      </c>
      <c r="I19" s="27">
        <v>5.0578703703703706E-3</v>
      </c>
      <c r="J19">
        <v>8</v>
      </c>
      <c r="K19">
        <v>6.56</v>
      </c>
      <c r="L19">
        <v>108</v>
      </c>
      <c r="M19" s="27">
        <v>1.2037037037037038E-3</v>
      </c>
      <c r="N19" s="27">
        <v>0.12997685185185184</v>
      </c>
      <c r="O19" s="3">
        <v>45954</v>
      </c>
      <c r="P19" t="s">
        <v>49</v>
      </c>
      <c r="Q19" s="3">
        <v>45950</v>
      </c>
      <c r="R19" s="26">
        <v>5</v>
      </c>
    </row>
    <row r="20" spans="1:18" x14ac:dyDescent="0.25">
      <c r="A20">
        <v>4.45</v>
      </c>
      <c r="B20">
        <v>142</v>
      </c>
      <c r="C20">
        <v>135</v>
      </c>
      <c r="D20" s="27">
        <v>4.5138888888888887E-4</v>
      </c>
      <c r="E20" s="27">
        <v>7.4768518518518517E-3</v>
      </c>
      <c r="F20">
        <v>80.290000000000006</v>
      </c>
      <c r="G20" s="27">
        <v>2.1412037037037038E-3</v>
      </c>
      <c r="H20" s="27">
        <v>0.28967592592592595</v>
      </c>
      <c r="I20" s="27">
        <v>4.5949074074074078E-3</v>
      </c>
      <c r="J20">
        <v>7</v>
      </c>
      <c r="K20">
        <v>4.93</v>
      </c>
      <c r="L20">
        <v>96</v>
      </c>
      <c r="M20" s="27">
        <v>1.0300925925925926E-3</v>
      </c>
      <c r="N20" s="27">
        <v>9.8750000000000004E-2</v>
      </c>
      <c r="O20" s="3">
        <v>45957</v>
      </c>
      <c r="P20" t="s">
        <v>49</v>
      </c>
      <c r="Q20" s="3">
        <v>45957</v>
      </c>
      <c r="R20" s="26">
        <v>5</v>
      </c>
    </row>
    <row r="21" spans="1:18" x14ac:dyDescent="0.25">
      <c r="A21">
        <v>4.7</v>
      </c>
      <c r="B21">
        <v>132</v>
      </c>
      <c r="C21">
        <v>122</v>
      </c>
      <c r="D21" s="27">
        <v>3.1250000000000001E-4</v>
      </c>
      <c r="E21" s="27">
        <v>2.6157407407407405E-3</v>
      </c>
      <c r="F21">
        <v>83.46</v>
      </c>
      <c r="G21" s="27">
        <v>2.3726851851851851E-3</v>
      </c>
      <c r="H21" s="27">
        <v>0.28965277777777776</v>
      </c>
      <c r="I21" s="27">
        <v>5.3125000000000004E-3</v>
      </c>
      <c r="J21">
        <v>10</v>
      </c>
      <c r="K21">
        <v>7.58</v>
      </c>
      <c r="L21">
        <v>125</v>
      </c>
      <c r="M21" s="27">
        <v>1.0416666666666667E-3</v>
      </c>
      <c r="N21" s="27">
        <v>0.12983796296296296</v>
      </c>
      <c r="O21" s="3">
        <v>45958</v>
      </c>
      <c r="P21" t="s">
        <v>49</v>
      </c>
      <c r="Q21" s="3">
        <v>45957</v>
      </c>
      <c r="R21" s="26">
        <v>5</v>
      </c>
    </row>
    <row r="22" spans="1:18" x14ac:dyDescent="0.25">
      <c r="A22">
        <v>4.21</v>
      </c>
      <c r="B22">
        <v>127</v>
      </c>
      <c r="C22">
        <v>122</v>
      </c>
      <c r="D22" s="27">
        <v>5.5555555555555556E-4</v>
      </c>
      <c r="E22" s="27">
        <v>6.3425925925925924E-3</v>
      </c>
      <c r="F22">
        <v>73.02</v>
      </c>
      <c r="G22" s="27">
        <v>2.3148148148148147E-3</v>
      </c>
      <c r="H22" s="27">
        <v>0.28292824074074074</v>
      </c>
      <c r="I22" s="27">
        <v>4.363425925925926E-3</v>
      </c>
      <c r="J22">
        <v>5</v>
      </c>
      <c r="K22">
        <v>3.94</v>
      </c>
      <c r="L22">
        <v>89</v>
      </c>
      <c r="M22" s="27">
        <v>1.1805555555555556E-3</v>
      </c>
      <c r="N22" s="27">
        <v>0.10469907407407407</v>
      </c>
      <c r="O22" s="3">
        <v>45959</v>
      </c>
      <c r="P22" t="s">
        <v>49</v>
      </c>
      <c r="Q22" s="3">
        <v>45957</v>
      </c>
      <c r="R22" s="26">
        <v>5</v>
      </c>
    </row>
    <row r="23" spans="1:18" x14ac:dyDescent="0.25">
      <c r="A23">
        <v>4.97</v>
      </c>
      <c r="B23">
        <v>118</v>
      </c>
      <c r="C23">
        <v>118</v>
      </c>
      <c r="D23" s="27">
        <v>3.3564814814814812E-4</v>
      </c>
      <c r="E23" s="27">
        <v>4.1898148148148146E-3</v>
      </c>
      <c r="F23">
        <v>80.510000000000005</v>
      </c>
      <c r="G23" s="27">
        <v>2.1064814814814813E-3</v>
      </c>
      <c r="H23" s="27">
        <v>0.2490162037037037</v>
      </c>
      <c r="I23" s="27">
        <v>5.1967592592592595E-3</v>
      </c>
      <c r="J23">
        <v>0</v>
      </c>
      <c r="K23">
        <v>0</v>
      </c>
      <c r="L23">
        <v>119</v>
      </c>
      <c r="M23" s="27">
        <v>1.238425925925926E-3</v>
      </c>
      <c r="N23" s="27">
        <v>0.14774305555555556</v>
      </c>
      <c r="O23" s="3">
        <v>45960</v>
      </c>
      <c r="P23" t="s">
        <v>49</v>
      </c>
      <c r="Q23" s="3">
        <v>45957</v>
      </c>
      <c r="R23" s="26">
        <v>5</v>
      </c>
    </row>
    <row r="24" spans="1:18" x14ac:dyDescent="0.25">
      <c r="A24">
        <v>5.47</v>
      </c>
      <c r="B24">
        <v>119</v>
      </c>
      <c r="C24">
        <v>114</v>
      </c>
      <c r="D24" s="27">
        <v>3.5879629629629629E-4</v>
      </c>
      <c r="E24" s="27">
        <v>6.5277777777777782E-3</v>
      </c>
      <c r="F24">
        <v>80.17</v>
      </c>
      <c r="G24" s="27">
        <v>1.9675925925925924E-3</v>
      </c>
      <c r="H24" s="27">
        <v>0.22418981481481481</v>
      </c>
      <c r="I24" s="27">
        <v>6.9560185185185185E-3</v>
      </c>
      <c r="J24">
        <v>5</v>
      </c>
      <c r="K24">
        <v>4.2</v>
      </c>
      <c r="L24">
        <v>112</v>
      </c>
      <c r="M24" s="27">
        <v>1.5277777777777779E-3</v>
      </c>
      <c r="N24" s="27">
        <v>0.17078703703703704</v>
      </c>
      <c r="O24" s="3">
        <v>45961</v>
      </c>
      <c r="P24" t="s">
        <v>49</v>
      </c>
      <c r="Q24" s="3">
        <v>45957</v>
      </c>
      <c r="R24" s="26">
        <v>5</v>
      </c>
    </row>
    <row r="25" spans="1:18" x14ac:dyDescent="0.25">
      <c r="A25">
        <v>4.9400000000000004</v>
      </c>
      <c r="B25">
        <v>158</v>
      </c>
      <c r="C25">
        <v>149</v>
      </c>
      <c r="D25" s="27">
        <v>3.0092592592592595E-4</v>
      </c>
      <c r="E25" s="27">
        <v>2.6967592592592594E-3</v>
      </c>
      <c r="F25">
        <v>79.61</v>
      </c>
      <c r="G25" s="27">
        <v>2.0254629629629629E-3</v>
      </c>
      <c r="H25" s="27">
        <v>0.30135416666666665</v>
      </c>
      <c r="I25" s="27">
        <v>4.8726851851851848E-3</v>
      </c>
      <c r="J25">
        <v>9</v>
      </c>
      <c r="K25">
        <v>5.7</v>
      </c>
      <c r="L25">
        <v>121</v>
      </c>
      <c r="M25" s="27">
        <v>1.4699074074074074E-3</v>
      </c>
      <c r="N25" s="27">
        <v>0.17747685185185186</v>
      </c>
      <c r="O25" s="3">
        <v>45964</v>
      </c>
      <c r="P25" t="s">
        <v>50</v>
      </c>
      <c r="Q25" s="3">
        <v>45964</v>
      </c>
      <c r="R25" s="26">
        <v>5</v>
      </c>
    </row>
    <row r="26" spans="1:18" x14ac:dyDescent="0.25">
      <c r="A26">
        <v>5.33</v>
      </c>
      <c r="B26">
        <v>149</v>
      </c>
      <c r="C26">
        <v>144</v>
      </c>
      <c r="D26" s="27">
        <v>2.7777777777777778E-4</v>
      </c>
      <c r="E26" s="27">
        <v>2.9282407407407408E-3</v>
      </c>
      <c r="F26">
        <v>88.36</v>
      </c>
      <c r="G26" s="27">
        <v>1.9675925925925924E-3</v>
      </c>
      <c r="H26" s="27">
        <v>0.28322916666666664</v>
      </c>
      <c r="I26" s="27">
        <v>5.4861111111111109E-3</v>
      </c>
      <c r="J26">
        <v>5</v>
      </c>
      <c r="K26">
        <v>3.36</v>
      </c>
      <c r="L26">
        <v>139</v>
      </c>
      <c r="M26" s="27">
        <v>1.7708333333333332E-3</v>
      </c>
      <c r="N26" s="27">
        <v>0.24560185185185185</v>
      </c>
      <c r="O26" s="3">
        <v>45965</v>
      </c>
      <c r="P26" t="s">
        <v>50</v>
      </c>
      <c r="Q26" s="3">
        <v>45964</v>
      </c>
      <c r="R26" s="26">
        <v>5</v>
      </c>
    </row>
    <row r="27" spans="1:18" x14ac:dyDescent="0.25">
      <c r="A27">
        <v>4.8600000000000003</v>
      </c>
      <c r="B27">
        <v>134</v>
      </c>
      <c r="C27">
        <v>129</v>
      </c>
      <c r="D27" s="27">
        <v>3.2407407407407406E-4</v>
      </c>
      <c r="E27" s="27">
        <v>3.8310185185185183E-3</v>
      </c>
      <c r="F27">
        <v>86.92</v>
      </c>
      <c r="G27" s="27">
        <v>2.0254629629629629E-3</v>
      </c>
      <c r="H27" s="27">
        <v>0.26075231481481481</v>
      </c>
      <c r="I27" s="27">
        <v>5.092592592592593E-3</v>
      </c>
      <c r="J27">
        <v>5</v>
      </c>
      <c r="K27">
        <v>3.73</v>
      </c>
      <c r="L27">
        <v>104</v>
      </c>
      <c r="M27" s="27">
        <v>1.4467592592592592E-3</v>
      </c>
      <c r="N27" s="27">
        <v>0.1509375</v>
      </c>
      <c r="O27" s="3">
        <v>45966</v>
      </c>
      <c r="P27" t="s">
        <v>50</v>
      </c>
      <c r="Q27" s="3">
        <v>45964</v>
      </c>
      <c r="R27" s="26">
        <v>5</v>
      </c>
    </row>
    <row r="28" spans="1:18" x14ac:dyDescent="0.25">
      <c r="A28">
        <v>5.0999999999999996</v>
      </c>
      <c r="B28">
        <v>164</v>
      </c>
      <c r="C28">
        <v>153</v>
      </c>
      <c r="D28" s="27">
        <v>3.5879629629629629E-4</v>
      </c>
      <c r="E28" s="27">
        <v>6.9560185185185185E-3</v>
      </c>
      <c r="F28">
        <v>80</v>
      </c>
      <c r="G28" s="27">
        <v>2.2453703703703702E-3</v>
      </c>
      <c r="H28" s="27">
        <v>0.34418981481481481</v>
      </c>
      <c r="I28" s="27">
        <v>5.1041666666666666E-3</v>
      </c>
      <c r="J28">
        <v>11</v>
      </c>
      <c r="K28">
        <v>6.71</v>
      </c>
      <c r="L28">
        <v>106</v>
      </c>
      <c r="M28" s="27">
        <v>1.1689814814814816E-3</v>
      </c>
      <c r="N28" s="27">
        <v>0.12343750000000001</v>
      </c>
      <c r="O28" s="3">
        <v>45967</v>
      </c>
      <c r="P28" t="s">
        <v>50</v>
      </c>
      <c r="Q28" s="3">
        <v>45964</v>
      </c>
      <c r="R28" s="26">
        <v>5</v>
      </c>
    </row>
    <row r="29" spans="1:18" x14ac:dyDescent="0.25">
      <c r="A29">
        <v>4.84</v>
      </c>
      <c r="B29">
        <v>134</v>
      </c>
      <c r="C29">
        <v>126</v>
      </c>
      <c r="D29" s="27">
        <v>5.9027777777777778E-4</v>
      </c>
      <c r="E29" s="27">
        <v>6.2500000000000003E-3</v>
      </c>
      <c r="F29">
        <v>67.91</v>
      </c>
      <c r="G29" s="27">
        <v>2.0023148148148148E-3</v>
      </c>
      <c r="H29" s="27">
        <v>0.25237268518518519</v>
      </c>
      <c r="I29" s="27">
        <v>4.3981481481481484E-3</v>
      </c>
      <c r="J29">
        <v>8</v>
      </c>
      <c r="K29">
        <v>5.97</v>
      </c>
      <c r="L29">
        <v>146</v>
      </c>
      <c r="M29" s="27">
        <v>1.1111111111111111E-3</v>
      </c>
      <c r="N29" s="27">
        <v>0.16306712962962963</v>
      </c>
      <c r="O29" s="3">
        <v>45968</v>
      </c>
      <c r="P29" t="s">
        <v>50</v>
      </c>
      <c r="Q29" s="3">
        <v>45964</v>
      </c>
      <c r="R29" s="26">
        <v>5</v>
      </c>
    </row>
    <row r="30" spans="1:18" x14ac:dyDescent="0.25">
      <c r="A30">
        <v>5.57</v>
      </c>
      <c r="B30">
        <v>168</v>
      </c>
      <c r="C30">
        <v>158</v>
      </c>
      <c r="D30" s="27">
        <v>4.0509259259259258E-4</v>
      </c>
      <c r="E30" s="27">
        <v>4.386574074074074E-3</v>
      </c>
      <c r="F30">
        <v>75.16</v>
      </c>
      <c r="G30" s="27">
        <v>2.0833333333333333E-3</v>
      </c>
      <c r="H30" s="27">
        <v>0.32946759259259262</v>
      </c>
      <c r="I30" s="27">
        <v>5.2314814814814811E-3</v>
      </c>
      <c r="J30">
        <v>10</v>
      </c>
      <c r="K30">
        <v>5.95</v>
      </c>
      <c r="L30">
        <v>139</v>
      </c>
      <c r="M30" s="27">
        <v>1.1689814814814816E-3</v>
      </c>
      <c r="N30" s="27">
        <v>0.16190972222222222</v>
      </c>
      <c r="O30" s="3">
        <v>45971</v>
      </c>
      <c r="P30" t="s">
        <v>50</v>
      </c>
      <c r="Q30" s="3">
        <v>45971</v>
      </c>
      <c r="R30" s="26">
        <v>5</v>
      </c>
    </row>
    <row r="31" spans="1:18" x14ac:dyDescent="0.25">
      <c r="A31">
        <v>4.9400000000000004</v>
      </c>
      <c r="B31">
        <v>118</v>
      </c>
      <c r="C31">
        <v>114</v>
      </c>
      <c r="D31" s="27">
        <v>3.1250000000000001E-4</v>
      </c>
      <c r="E31" s="27">
        <v>3.2060185185185186E-3</v>
      </c>
      <c r="F31">
        <v>84.35</v>
      </c>
      <c r="G31" s="27">
        <v>2.3726851851851851E-3</v>
      </c>
      <c r="H31" s="27">
        <v>0.27084490740740741</v>
      </c>
      <c r="I31" s="27">
        <v>6.2962962962962964E-3</v>
      </c>
      <c r="J31">
        <v>4</v>
      </c>
      <c r="K31">
        <v>3.39</v>
      </c>
      <c r="L31">
        <v>99</v>
      </c>
      <c r="M31" s="27">
        <v>1.3425925925925925E-3</v>
      </c>
      <c r="N31" s="27">
        <v>0.13315972222222222</v>
      </c>
      <c r="O31" s="3">
        <v>45972</v>
      </c>
      <c r="P31" t="s">
        <v>50</v>
      </c>
      <c r="Q31" s="3">
        <v>45971</v>
      </c>
      <c r="R31" s="26">
        <v>5</v>
      </c>
    </row>
    <row r="32" spans="1:18" x14ac:dyDescent="0.25">
      <c r="A32">
        <v>3.47</v>
      </c>
      <c r="B32">
        <v>146</v>
      </c>
      <c r="C32">
        <v>142</v>
      </c>
      <c r="D32" s="27">
        <v>3.0092592592592595E-4</v>
      </c>
      <c r="E32" s="27">
        <v>2.673611111111111E-3</v>
      </c>
      <c r="F32">
        <v>86.62</v>
      </c>
      <c r="G32" s="27">
        <v>2.2453703703703702E-3</v>
      </c>
      <c r="H32" s="27">
        <v>0.31832175925925926</v>
      </c>
      <c r="I32" s="27">
        <v>7.4074074074074077E-3</v>
      </c>
      <c r="J32">
        <v>4</v>
      </c>
      <c r="K32">
        <v>2.74</v>
      </c>
      <c r="L32">
        <v>142</v>
      </c>
      <c r="M32" s="27">
        <v>1.0763888888888889E-3</v>
      </c>
      <c r="N32" s="27">
        <v>0.15289351851851851</v>
      </c>
      <c r="O32" s="3">
        <v>45973</v>
      </c>
      <c r="P32" t="s">
        <v>50</v>
      </c>
      <c r="Q32" s="3">
        <v>45971</v>
      </c>
      <c r="R32" s="26">
        <v>5</v>
      </c>
    </row>
    <row r="33" spans="1:18" x14ac:dyDescent="0.25">
      <c r="A33">
        <v>3.6</v>
      </c>
      <c r="B33">
        <v>139</v>
      </c>
      <c r="C33">
        <v>134</v>
      </c>
      <c r="D33" s="27">
        <v>4.0509259259259258E-4</v>
      </c>
      <c r="E33" s="27">
        <v>4.2824074074074075E-3</v>
      </c>
      <c r="F33">
        <v>78.680000000000007</v>
      </c>
      <c r="G33" s="27">
        <v>2.1643518518518518E-3</v>
      </c>
      <c r="H33" s="27">
        <v>0.29074074074074074</v>
      </c>
      <c r="I33" s="27">
        <v>7.5115740740740742E-3</v>
      </c>
      <c r="J33">
        <v>5</v>
      </c>
      <c r="K33">
        <v>3.6</v>
      </c>
      <c r="L33">
        <v>149</v>
      </c>
      <c r="M33" s="27">
        <v>1.238425925925926E-3</v>
      </c>
      <c r="N33" s="27">
        <v>0.18506944444444445</v>
      </c>
      <c r="O33" s="3">
        <v>45974</v>
      </c>
      <c r="P33" t="s">
        <v>50</v>
      </c>
      <c r="Q33" s="3">
        <v>45971</v>
      </c>
      <c r="R33" s="26">
        <v>5</v>
      </c>
    </row>
    <row r="34" spans="1:18" x14ac:dyDescent="0.25">
      <c r="A34">
        <v>5.86</v>
      </c>
      <c r="B34">
        <v>125</v>
      </c>
      <c r="C34">
        <v>121</v>
      </c>
      <c r="D34" s="27">
        <v>3.0092592592592595E-4</v>
      </c>
      <c r="E34" s="27">
        <v>2.8935185185185184E-3</v>
      </c>
      <c r="F34">
        <v>85.25</v>
      </c>
      <c r="G34" s="27">
        <v>1.8749999999999999E-3</v>
      </c>
      <c r="H34" s="27">
        <v>0.22722222222222221</v>
      </c>
      <c r="I34" s="27">
        <v>5.4976851851851853E-3</v>
      </c>
      <c r="J34">
        <v>4</v>
      </c>
      <c r="K34">
        <v>3.2</v>
      </c>
      <c r="L34">
        <v>149</v>
      </c>
      <c r="M34" s="27">
        <v>1.4351851851851852E-3</v>
      </c>
      <c r="N34" s="27">
        <v>0.21347222222222223</v>
      </c>
      <c r="O34" s="3">
        <v>45975</v>
      </c>
      <c r="P34" t="s">
        <v>50</v>
      </c>
      <c r="Q34" s="3">
        <v>45971</v>
      </c>
      <c r="R34" s="26">
        <v>5</v>
      </c>
    </row>
    <row r="35" spans="1:18" x14ac:dyDescent="0.25">
      <c r="A35">
        <v>4.12</v>
      </c>
      <c r="B35">
        <v>184</v>
      </c>
      <c r="C35">
        <v>175</v>
      </c>
      <c r="D35" s="27">
        <v>4.1666666666666669E-4</v>
      </c>
      <c r="E35" s="27">
        <v>3.8541666666666668E-3</v>
      </c>
      <c r="F35">
        <v>77.650000000000006</v>
      </c>
      <c r="G35" s="27">
        <v>2.2222222222222222E-3</v>
      </c>
      <c r="H35" s="27">
        <v>0.38855324074074077</v>
      </c>
      <c r="I35" s="27">
        <v>4.5138888888888885E-3</v>
      </c>
      <c r="J35">
        <v>9</v>
      </c>
      <c r="K35">
        <v>4.8899999999999997</v>
      </c>
      <c r="L35">
        <v>65</v>
      </c>
      <c r="M35" s="27">
        <v>1.261574074074074E-3</v>
      </c>
      <c r="N35" s="27">
        <v>8.2210648148148144E-2</v>
      </c>
      <c r="O35" s="3">
        <v>45978</v>
      </c>
      <c r="P35" t="s">
        <v>50</v>
      </c>
      <c r="Q35" s="3">
        <v>45978</v>
      </c>
      <c r="R35" s="26">
        <v>5</v>
      </c>
    </row>
    <row r="36" spans="1:18" x14ac:dyDescent="0.25">
      <c r="A36">
        <v>5.07</v>
      </c>
      <c r="B36">
        <v>161</v>
      </c>
      <c r="C36">
        <v>153</v>
      </c>
      <c r="D36" s="27">
        <v>5.6712962962962967E-4</v>
      </c>
      <c r="E36" s="27">
        <v>3.7268518518518519E-3</v>
      </c>
      <c r="F36">
        <v>72.61</v>
      </c>
      <c r="G36" s="27">
        <v>2.1759259259259258E-3</v>
      </c>
      <c r="H36" s="27">
        <v>0.33372685185185186</v>
      </c>
      <c r="I36" s="27">
        <v>5.2546296296296299E-3</v>
      </c>
      <c r="J36">
        <v>8</v>
      </c>
      <c r="K36">
        <v>4.97</v>
      </c>
      <c r="L36">
        <v>96</v>
      </c>
      <c r="M36" s="27">
        <v>1.25E-3</v>
      </c>
      <c r="N36" s="27">
        <v>0.12012731481481481</v>
      </c>
      <c r="O36" s="3">
        <v>45979</v>
      </c>
      <c r="P36" t="s">
        <v>50</v>
      </c>
      <c r="Q36" s="3">
        <v>45978</v>
      </c>
      <c r="R36" s="26">
        <v>5</v>
      </c>
    </row>
    <row r="37" spans="1:18" x14ac:dyDescent="0.25">
      <c r="A37">
        <v>5.71</v>
      </c>
      <c r="B37">
        <v>123</v>
      </c>
      <c r="C37">
        <v>119</v>
      </c>
      <c r="D37" s="27">
        <v>1.7361111111111112E-4</v>
      </c>
      <c r="E37" s="27">
        <v>1.1458333333333333E-3</v>
      </c>
      <c r="F37">
        <v>89.26</v>
      </c>
      <c r="G37" s="27">
        <v>2.0486111111111113E-3</v>
      </c>
      <c r="H37" s="27">
        <v>0.24310185185185185</v>
      </c>
      <c r="I37" s="27">
        <v>5.4861111111111109E-3</v>
      </c>
      <c r="J37">
        <v>4</v>
      </c>
      <c r="K37">
        <v>3.25</v>
      </c>
      <c r="L37">
        <v>142</v>
      </c>
      <c r="M37" s="27">
        <v>1.3425925925925925E-3</v>
      </c>
      <c r="N37" s="27">
        <v>0.19133101851851853</v>
      </c>
      <c r="O37" s="3">
        <v>45981</v>
      </c>
      <c r="P37" t="s">
        <v>50</v>
      </c>
      <c r="Q37" s="3">
        <v>45978</v>
      </c>
      <c r="R37" s="26">
        <v>5</v>
      </c>
    </row>
    <row r="38" spans="1:18" x14ac:dyDescent="0.25">
      <c r="A38">
        <v>3.69</v>
      </c>
      <c r="B38">
        <v>126</v>
      </c>
      <c r="C38">
        <v>116</v>
      </c>
      <c r="D38" s="27">
        <v>4.3981481481481481E-4</v>
      </c>
      <c r="E38" s="27">
        <v>2.1875000000000002E-3</v>
      </c>
      <c r="F38">
        <v>71.31</v>
      </c>
      <c r="G38" s="27">
        <v>1.736111111111111E-3</v>
      </c>
      <c r="H38" s="27">
        <v>0.20103009259259258</v>
      </c>
      <c r="I38" s="27">
        <v>4.8842592592592592E-3</v>
      </c>
      <c r="J38">
        <v>10</v>
      </c>
      <c r="K38">
        <v>7.94</v>
      </c>
      <c r="L38">
        <v>116</v>
      </c>
      <c r="M38" s="27">
        <v>1.238425925925926E-3</v>
      </c>
      <c r="N38" s="27">
        <v>0.14347222222222222</v>
      </c>
      <c r="O38" s="3">
        <v>45982</v>
      </c>
      <c r="P38" t="s">
        <v>50</v>
      </c>
      <c r="Q38" s="3">
        <v>45978</v>
      </c>
      <c r="R38" s="26">
        <v>5</v>
      </c>
    </row>
    <row r="39" spans="1:18" x14ac:dyDescent="0.25">
      <c r="A39">
        <v>6.06</v>
      </c>
      <c r="B39">
        <v>185</v>
      </c>
      <c r="C39">
        <v>180</v>
      </c>
      <c r="D39" s="27">
        <v>4.5138888888888887E-4</v>
      </c>
      <c r="E39" s="27">
        <v>8.9004629629629625E-3</v>
      </c>
      <c r="F39">
        <v>76.37</v>
      </c>
      <c r="G39" s="27">
        <v>2.0254629629629629E-3</v>
      </c>
      <c r="H39" s="27">
        <v>0.36413194444444447</v>
      </c>
      <c r="I39" s="27">
        <v>5.4513888888888893E-3</v>
      </c>
      <c r="J39">
        <v>5</v>
      </c>
      <c r="K39">
        <v>2.7</v>
      </c>
      <c r="L39">
        <v>116</v>
      </c>
      <c r="M39" s="27">
        <v>1.3425925925925925E-3</v>
      </c>
      <c r="N39" s="27">
        <v>0.15579861111111112</v>
      </c>
      <c r="O39" s="3">
        <v>45999</v>
      </c>
      <c r="P39" t="s">
        <v>74</v>
      </c>
      <c r="Q39" s="3">
        <v>45999</v>
      </c>
      <c r="R39" s="26">
        <v>5</v>
      </c>
    </row>
    <row r="40" spans="1:18" x14ac:dyDescent="0.25">
      <c r="A40">
        <v>5.34</v>
      </c>
      <c r="B40">
        <v>167</v>
      </c>
      <c r="C40">
        <v>160</v>
      </c>
      <c r="D40" s="27">
        <v>3.0092592592592595E-4</v>
      </c>
      <c r="E40" s="27">
        <v>2.5347222222222221E-3</v>
      </c>
      <c r="F40">
        <v>80.489999999999995</v>
      </c>
      <c r="G40" s="27">
        <v>2.1180555555555558E-3</v>
      </c>
      <c r="H40" s="27">
        <v>0.33890046296296295</v>
      </c>
      <c r="I40" s="27">
        <v>5.0347222222222225E-3</v>
      </c>
      <c r="J40">
        <v>7</v>
      </c>
      <c r="K40">
        <v>4.1900000000000004</v>
      </c>
      <c r="L40">
        <v>131</v>
      </c>
      <c r="M40" s="27">
        <v>1.4699074074074074E-3</v>
      </c>
      <c r="N40" s="27">
        <v>0.19239583333333332</v>
      </c>
      <c r="O40" s="3">
        <v>46000</v>
      </c>
      <c r="P40" t="s">
        <v>74</v>
      </c>
      <c r="Q40" s="3">
        <v>45999</v>
      </c>
      <c r="R40" s="26">
        <v>5</v>
      </c>
    </row>
    <row r="41" spans="1:18" x14ac:dyDescent="0.25">
      <c r="A41">
        <v>5.24</v>
      </c>
      <c r="B41">
        <v>116</v>
      </c>
      <c r="C41">
        <v>114</v>
      </c>
      <c r="D41" s="27">
        <v>3.7037037037037035E-4</v>
      </c>
      <c r="E41" s="27">
        <v>3.0555555555555557E-3</v>
      </c>
      <c r="F41">
        <v>78.069999999999993</v>
      </c>
      <c r="G41" s="27">
        <v>1.9212962962962964E-3</v>
      </c>
      <c r="H41" s="27">
        <v>0.21880787037037036</v>
      </c>
      <c r="I41" s="27">
        <v>4.7800925925925927E-3</v>
      </c>
      <c r="J41">
        <v>2</v>
      </c>
      <c r="K41">
        <v>1.72</v>
      </c>
      <c r="L41">
        <v>128</v>
      </c>
      <c r="M41" s="27">
        <v>1.6666666666666668E-3</v>
      </c>
      <c r="N41" s="27">
        <v>0.21403935185185186</v>
      </c>
      <c r="O41" s="3">
        <v>46001</v>
      </c>
      <c r="P41" t="s">
        <v>74</v>
      </c>
      <c r="Q41" s="3">
        <v>45999</v>
      </c>
      <c r="R41" s="26">
        <v>5</v>
      </c>
    </row>
    <row r="42" spans="1:18" x14ac:dyDescent="0.25">
      <c r="A42">
        <v>5.76</v>
      </c>
      <c r="B42">
        <v>146</v>
      </c>
      <c r="C42">
        <v>140</v>
      </c>
      <c r="D42" s="27">
        <v>2.6620370370370372E-4</v>
      </c>
      <c r="E42" s="27">
        <v>1.9675925925925924E-3</v>
      </c>
      <c r="F42">
        <v>87.32</v>
      </c>
      <c r="G42" s="27">
        <v>2.2453703703703702E-3</v>
      </c>
      <c r="H42" s="27">
        <v>0.31503472222222223</v>
      </c>
      <c r="I42" s="27">
        <v>5.5671296296296293E-3</v>
      </c>
      <c r="J42">
        <v>6</v>
      </c>
      <c r="K42">
        <v>4.1100000000000003</v>
      </c>
      <c r="L42">
        <v>134</v>
      </c>
      <c r="M42" s="27">
        <v>1.736111111111111E-3</v>
      </c>
      <c r="N42" s="27">
        <v>0.23228009259259258</v>
      </c>
      <c r="O42" s="3">
        <v>46002</v>
      </c>
      <c r="P42" t="s">
        <v>74</v>
      </c>
      <c r="Q42" s="3">
        <v>45999</v>
      </c>
      <c r="R42" s="26">
        <v>5</v>
      </c>
    </row>
    <row r="43" spans="1:18" x14ac:dyDescent="0.25">
      <c r="A43">
        <v>6.34</v>
      </c>
      <c r="B43">
        <v>114</v>
      </c>
      <c r="C43">
        <v>105</v>
      </c>
      <c r="D43" s="27">
        <v>3.1250000000000001E-4</v>
      </c>
      <c r="E43" s="27">
        <v>3.2986111111111111E-3</v>
      </c>
      <c r="F43">
        <v>83.96</v>
      </c>
      <c r="G43" s="27">
        <v>1.8865740740740742E-3</v>
      </c>
      <c r="H43" s="27">
        <v>0.19824074074074075</v>
      </c>
      <c r="I43" s="27">
        <v>7.3842592592592597E-3</v>
      </c>
      <c r="J43">
        <v>9</v>
      </c>
      <c r="K43">
        <v>7.89</v>
      </c>
      <c r="L43">
        <v>164</v>
      </c>
      <c r="M43" s="27">
        <v>1.5509259259259259E-3</v>
      </c>
      <c r="N43" s="27">
        <v>0.25494212962962964</v>
      </c>
      <c r="O43" s="3">
        <v>46003</v>
      </c>
      <c r="P43" t="s">
        <v>74</v>
      </c>
      <c r="Q43" s="3">
        <v>45999</v>
      </c>
      <c r="R43" s="26">
        <v>5</v>
      </c>
    </row>
    <row r="44" spans="1:18" x14ac:dyDescent="0.25">
      <c r="A44">
        <v>3.8</v>
      </c>
      <c r="B44">
        <v>218</v>
      </c>
      <c r="C44">
        <v>202</v>
      </c>
      <c r="D44" s="27">
        <v>1.1574074074074073E-3</v>
      </c>
      <c r="E44" s="27">
        <v>2.4583333333333332E-2</v>
      </c>
      <c r="F44">
        <v>53.81</v>
      </c>
      <c r="G44" s="27">
        <v>4.3055555555555555E-3</v>
      </c>
      <c r="H44" s="27">
        <v>0.86973379629629632</v>
      </c>
      <c r="I44" s="27">
        <v>7.3611111111111108E-3</v>
      </c>
      <c r="J44">
        <v>16</v>
      </c>
      <c r="K44">
        <v>7.34</v>
      </c>
      <c r="L44">
        <v>109</v>
      </c>
      <c r="M44" s="27">
        <v>1.4583333333333334E-3</v>
      </c>
      <c r="N44" s="27">
        <v>0.15878472222222223</v>
      </c>
      <c r="O44" s="3">
        <v>45992</v>
      </c>
      <c r="P44" t="s">
        <v>74</v>
      </c>
      <c r="Q44" s="3">
        <v>45992</v>
      </c>
      <c r="R44" s="26">
        <v>5</v>
      </c>
    </row>
    <row r="45" spans="1:18" x14ac:dyDescent="0.25">
      <c r="A45">
        <v>4.37</v>
      </c>
      <c r="B45">
        <v>153</v>
      </c>
      <c r="C45">
        <v>148</v>
      </c>
      <c r="D45" s="27">
        <v>4.861111111111111E-4</v>
      </c>
      <c r="E45" s="27">
        <v>4.5717592592592589E-3</v>
      </c>
      <c r="F45">
        <v>72</v>
      </c>
      <c r="G45" s="27">
        <v>4.2361111111111115E-3</v>
      </c>
      <c r="H45" s="27">
        <v>0.62745370370370368</v>
      </c>
      <c r="I45" s="27">
        <v>7.8356481481481489E-3</v>
      </c>
      <c r="J45">
        <v>5</v>
      </c>
      <c r="K45">
        <v>3.27</v>
      </c>
      <c r="L45">
        <v>157</v>
      </c>
      <c r="M45" s="27">
        <v>2.1527777777777778E-3</v>
      </c>
      <c r="N45" s="27">
        <v>0.33834490740740741</v>
      </c>
      <c r="O45" s="3">
        <v>45993</v>
      </c>
      <c r="P45" t="s">
        <v>74</v>
      </c>
      <c r="Q45" s="3">
        <v>45992</v>
      </c>
      <c r="R45" s="26">
        <v>5</v>
      </c>
    </row>
    <row r="46" spans="1:18" x14ac:dyDescent="0.25">
      <c r="A46">
        <v>5.5</v>
      </c>
      <c r="B46">
        <v>123</v>
      </c>
      <c r="C46">
        <v>119</v>
      </c>
      <c r="D46" s="27">
        <v>3.2407407407407406E-4</v>
      </c>
      <c r="E46" s="27">
        <v>1.7939814814814815E-3</v>
      </c>
      <c r="F46">
        <v>81.67</v>
      </c>
      <c r="G46" s="27">
        <v>2.2685185185185187E-3</v>
      </c>
      <c r="H46" s="27">
        <v>0.2701736111111111</v>
      </c>
      <c r="I46" s="27">
        <v>6.1921296296296299E-3</v>
      </c>
      <c r="J46">
        <v>4</v>
      </c>
      <c r="K46">
        <v>3.25</v>
      </c>
      <c r="L46">
        <v>151</v>
      </c>
      <c r="M46" s="27">
        <v>1.5277777777777779E-3</v>
      </c>
      <c r="N46" s="27">
        <v>0.23116898148148149</v>
      </c>
      <c r="O46" s="3">
        <v>45994</v>
      </c>
      <c r="P46" t="s">
        <v>74</v>
      </c>
      <c r="Q46" s="3">
        <v>45992</v>
      </c>
      <c r="R46" s="26">
        <v>5</v>
      </c>
    </row>
    <row r="47" spans="1:18" x14ac:dyDescent="0.25">
      <c r="A47">
        <v>6.11</v>
      </c>
      <c r="B47">
        <v>127</v>
      </c>
      <c r="C47">
        <v>122</v>
      </c>
      <c r="D47" s="27">
        <v>2.3148148148148149E-4</v>
      </c>
      <c r="E47" s="27">
        <v>1.4236111111111112E-3</v>
      </c>
      <c r="F47">
        <v>81.3</v>
      </c>
      <c r="G47" s="27">
        <v>2.2222222222222222E-3</v>
      </c>
      <c r="H47" s="27">
        <v>0.27135416666666667</v>
      </c>
      <c r="I47" s="27">
        <v>5.0578703703703706E-3</v>
      </c>
      <c r="J47">
        <v>5</v>
      </c>
      <c r="K47">
        <v>3.94</v>
      </c>
      <c r="L47">
        <v>166</v>
      </c>
      <c r="M47" s="27">
        <v>1.261574074074074E-3</v>
      </c>
      <c r="N47" s="27">
        <v>0.20864583333333334</v>
      </c>
      <c r="O47" s="3">
        <v>45995</v>
      </c>
      <c r="P47" t="s">
        <v>74</v>
      </c>
      <c r="Q47" s="3">
        <v>45992</v>
      </c>
      <c r="R47" s="26">
        <v>5</v>
      </c>
    </row>
    <row r="48" spans="1:18" x14ac:dyDescent="0.25">
      <c r="A48">
        <v>5.77</v>
      </c>
      <c r="B48">
        <v>128</v>
      </c>
      <c r="C48">
        <v>124</v>
      </c>
      <c r="D48" s="27">
        <v>1.8518518518518518E-4</v>
      </c>
      <c r="E48" s="27">
        <v>1.3078703703703703E-3</v>
      </c>
      <c r="F48">
        <v>91.34</v>
      </c>
      <c r="G48" s="27">
        <v>2.1759259259259258E-3</v>
      </c>
      <c r="H48" s="27">
        <v>0.26916666666666667</v>
      </c>
      <c r="I48" s="27">
        <v>5.2314814814814811E-3</v>
      </c>
      <c r="J48">
        <v>4</v>
      </c>
      <c r="K48">
        <v>3.13</v>
      </c>
      <c r="L48">
        <v>124</v>
      </c>
      <c r="M48" s="27">
        <v>1.1574074074074073E-3</v>
      </c>
      <c r="N48" s="27">
        <v>0.14412037037037037</v>
      </c>
      <c r="O48" s="3">
        <v>45996</v>
      </c>
      <c r="P48" t="s">
        <v>74</v>
      </c>
      <c r="Q48" s="3">
        <v>45992</v>
      </c>
      <c r="R48" s="26">
        <v>5</v>
      </c>
    </row>
    <row r="49" spans="1:18" x14ac:dyDescent="0.25">
      <c r="A49">
        <v>5.93</v>
      </c>
      <c r="B49">
        <v>174</v>
      </c>
      <c r="C49">
        <v>168</v>
      </c>
      <c r="D49" s="27">
        <v>2.3148148148148149E-4</v>
      </c>
      <c r="E49" s="27">
        <v>1.7476851851851852E-3</v>
      </c>
      <c r="F49">
        <v>86.55</v>
      </c>
      <c r="G49" s="27">
        <v>2.1759259259259258E-3</v>
      </c>
      <c r="H49" s="27">
        <v>0.36621527777777779</v>
      </c>
      <c r="I49" s="27">
        <v>4.8379629629629632E-3</v>
      </c>
      <c r="J49">
        <v>6</v>
      </c>
      <c r="K49">
        <v>3.45</v>
      </c>
      <c r="L49">
        <v>146</v>
      </c>
      <c r="M49" s="27">
        <v>1.4351851851851852E-3</v>
      </c>
      <c r="N49" s="27">
        <v>0.20962962962962964</v>
      </c>
      <c r="O49" s="3">
        <v>45985</v>
      </c>
      <c r="P49" t="s">
        <v>50</v>
      </c>
      <c r="Q49" s="3">
        <v>45985</v>
      </c>
      <c r="R49" s="26">
        <v>5</v>
      </c>
    </row>
    <row r="50" spans="1:18" x14ac:dyDescent="0.25">
      <c r="A50">
        <v>5.78</v>
      </c>
      <c r="B50">
        <v>149</v>
      </c>
      <c r="C50">
        <v>144</v>
      </c>
      <c r="D50" s="27">
        <v>2.6620370370370372E-4</v>
      </c>
      <c r="E50" s="27">
        <v>1.4930555555555556E-3</v>
      </c>
      <c r="F50">
        <v>84.83</v>
      </c>
      <c r="G50" s="27">
        <v>2.0254629629629629E-3</v>
      </c>
      <c r="H50" s="27">
        <v>0.29158564814814814</v>
      </c>
      <c r="I50" s="27">
        <v>4.8263888888888887E-3</v>
      </c>
      <c r="J50">
        <v>5</v>
      </c>
      <c r="K50">
        <v>3.36</v>
      </c>
      <c r="L50">
        <v>167</v>
      </c>
      <c r="M50" s="27">
        <v>1.0532407407407407E-3</v>
      </c>
      <c r="N50" s="27">
        <v>0.17663194444444444</v>
      </c>
      <c r="O50" s="3">
        <v>45986</v>
      </c>
      <c r="P50" t="s">
        <v>50</v>
      </c>
      <c r="Q50" s="3">
        <v>45985</v>
      </c>
      <c r="R50" s="26">
        <v>5</v>
      </c>
    </row>
    <row r="51" spans="1:18" x14ac:dyDescent="0.25">
      <c r="A51">
        <v>4.3499999999999996</v>
      </c>
      <c r="B51">
        <v>109</v>
      </c>
      <c r="C51">
        <v>106</v>
      </c>
      <c r="D51" s="27">
        <v>2.4305555555555555E-4</v>
      </c>
      <c r="E51" s="27">
        <v>2.7430555555555554E-3</v>
      </c>
      <c r="F51">
        <v>88.79</v>
      </c>
      <c r="G51" s="27">
        <v>1.9328703703703704E-3</v>
      </c>
      <c r="H51" s="27">
        <v>0.20432870370370371</v>
      </c>
      <c r="I51" s="27">
        <v>4.7569444444444447E-3</v>
      </c>
      <c r="J51">
        <v>3</v>
      </c>
      <c r="K51">
        <v>2.75</v>
      </c>
      <c r="L51">
        <v>98</v>
      </c>
      <c r="M51" s="27">
        <v>1.1111111111111111E-3</v>
      </c>
      <c r="N51" s="27">
        <v>0.10853009259259259</v>
      </c>
      <c r="O51" s="3">
        <v>45987</v>
      </c>
      <c r="P51" t="s">
        <v>50</v>
      </c>
      <c r="Q51" s="3">
        <v>45985</v>
      </c>
      <c r="R51" s="26">
        <v>5</v>
      </c>
    </row>
    <row r="52" spans="1:18" x14ac:dyDescent="0.25">
      <c r="A52">
        <v>4.3600000000000003</v>
      </c>
      <c r="B52">
        <v>197</v>
      </c>
      <c r="C52">
        <v>175</v>
      </c>
      <c r="D52" s="27">
        <v>4.3981481481481481E-4</v>
      </c>
      <c r="E52" s="27">
        <v>5.0347222222222225E-3</v>
      </c>
      <c r="F52">
        <v>69.44</v>
      </c>
      <c r="G52" s="27">
        <v>2.1527777777777778E-3</v>
      </c>
      <c r="H52" s="27">
        <v>0.37685185185185183</v>
      </c>
      <c r="I52" s="27">
        <v>7.3842592592592597E-3</v>
      </c>
      <c r="J52">
        <v>22</v>
      </c>
      <c r="K52">
        <v>11.17</v>
      </c>
      <c r="L52">
        <v>138</v>
      </c>
      <c r="M52" s="27">
        <v>4.2129629629629626E-3</v>
      </c>
      <c r="N52" s="27">
        <v>0.58144675925925926</v>
      </c>
      <c r="O52" s="3">
        <v>46006</v>
      </c>
      <c r="P52" t="s">
        <v>74</v>
      </c>
      <c r="Q52" s="3">
        <v>46006</v>
      </c>
      <c r="R52" s="26">
        <v>5</v>
      </c>
    </row>
    <row r="53" spans="1:18" x14ac:dyDescent="0.25">
      <c r="A53">
        <v>3.82</v>
      </c>
      <c r="B53">
        <v>172</v>
      </c>
      <c r="C53">
        <v>170</v>
      </c>
      <c r="D53" s="27">
        <v>2.8935185185185184E-4</v>
      </c>
      <c r="E53" s="27">
        <v>2.5462962962962965E-3</v>
      </c>
      <c r="F53">
        <v>80.12</v>
      </c>
      <c r="G53" s="27">
        <v>1.9328703703703704E-3</v>
      </c>
      <c r="H53" s="27">
        <v>0.32930555555555557</v>
      </c>
      <c r="I53" s="27">
        <v>6.8634259259259256E-3</v>
      </c>
      <c r="J53">
        <v>2</v>
      </c>
      <c r="K53">
        <v>1.1599999999999999</v>
      </c>
      <c r="L53">
        <v>129</v>
      </c>
      <c r="M53" s="27">
        <v>3.9930555555555552E-3</v>
      </c>
      <c r="N53" s="27">
        <v>0.51473379629629634</v>
      </c>
      <c r="O53" s="3">
        <v>46007</v>
      </c>
      <c r="P53" t="s">
        <v>74</v>
      </c>
      <c r="Q53" s="3">
        <v>46006</v>
      </c>
      <c r="R53" s="26">
        <v>5</v>
      </c>
    </row>
    <row r="54" spans="1:18" x14ac:dyDescent="0.25">
      <c r="A54">
        <v>5.15</v>
      </c>
      <c r="B54">
        <v>102</v>
      </c>
      <c r="C54">
        <v>98</v>
      </c>
      <c r="D54" s="27">
        <v>3.9351851851851852E-4</v>
      </c>
      <c r="E54" s="27">
        <v>4.6759259259259263E-3</v>
      </c>
      <c r="F54">
        <v>86</v>
      </c>
      <c r="G54" s="27">
        <v>1.8634259259259259E-3</v>
      </c>
      <c r="H54" s="27">
        <v>0.18238425925925925</v>
      </c>
      <c r="I54" s="27">
        <v>4.7685185185185183E-3</v>
      </c>
      <c r="J54">
        <v>4</v>
      </c>
      <c r="K54">
        <v>3.92</v>
      </c>
      <c r="L54">
        <v>71</v>
      </c>
      <c r="M54" s="27">
        <v>1.0995370370370371E-3</v>
      </c>
      <c r="N54" s="27">
        <v>7.7731481481481485E-2</v>
      </c>
      <c r="O54" s="3">
        <v>46008</v>
      </c>
      <c r="P54" t="s">
        <v>74</v>
      </c>
      <c r="Q54" s="3">
        <v>46006</v>
      </c>
      <c r="R54" s="26">
        <v>5</v>
      </c>
    </row>
    <row r="55" spans="1:18" x14ac:dyDescent="0.25">
      <c r="A55">
        <v>6.2</v>
      </c>
      <c r="B55">
        <v>128</v>
      </c>
      <c r="C55">
        <v>123</v>
      </c>
      <c r="D55" s="27">
        <v>2.7777777777777778E-4</v>
      </c>
      <c r="E55" s="27">
        <v>1.8981481481481482E-3</v>
      </c>
      <c r="F55">
        <v>80</v>
      </c>
      <c r="G55" s="27">
        <v>1.9675925925925924E-3</v>
      </c>
      <c r="H55" s="27">
        <v>0.24219907407407407</v>
      </c>
      <c r="I55" s="27">
        <v>6.5740740740740742E-3</v>
      </c>
      <c r="J55">
        <v>5</v>
      </c>
      <c r="K55">
        <v>3.91</v>
      </c>
      <c r="L55">
        <v>144</v>
      </c>
      <c r="M55" s="27">
        <v>1.3657407407407407E-3</v>
      </c>
      <c r="N55" s="27">
        <v>0.19650462962962964</v>
      </c>
      <c r="O55" s="3">
        <v>46009</v>
      </c>
      <c r="P55" t="str">
        <f>TEXT(O55,"mmmm")</f>
        <v>December</v>
      </c>
      <c r="Q55" s="3">
        <f>O55-WEEKDAY(O55,1)+2</f>
        <v>46006</v>
      </c>
      <c r="R55" s="26">
        <v>5</v>
      </c>
    </row>
    <row r="56" spans="1:18" x14ac:dyDescent="0.25">
      <c r="A56">
        <v>4.37</v>
      </c>
      <c r="B56">
        <v>118</v>
      </c>
      <c r="C56">
        <v>110</v>
      </c>
      <c r="D56" s="27">
        <v>5.4398148148148144E-4</v>
      </c>
      <c r="E56" s="27">
        <v>6.4351851851851853E-3</v>
      </c>
      <c r="F56">
        <v>73.040000000000006</v>
      </c>
      <c r="G56" s="27">
        <v>2.3842592592592591E-3</v>
      </c>
      <c r="H56" s="27">
        <v>0.26187500000000002</v>
      </c>
      <c r="I56" s="27">
        <v>7.1759259259259259E-3</v>
      </c>
      <c r="J56">
        <v>8</v>
      </c>
      <c r="K56">
        <v>6.78</v>
      </c>
      <c r="L56">
        <v>99</v>
      </c>
      <c r="M56" s="27">
        <v>1.5277777777777779E-3</v>
      </c>
      <c r="N56" s="27">
        <v>0.15119212962962963</v>
      </c>
      <c r="O56" s="3">
        <v>46010</v>
      </c>
      <c r="P56" t="str">
        <f>TEXT(O56,"mmmm")</f>
        <v>December</v>
      </c>
      <c r="Q56" s="3">
        <f>O56-WEEKDAY(O56,1)+2</f>
        <v>46006</v>
      </c>
      <c r="R56" s="26">
        <v>5</v>
      </c>
    </row>
    <row r="57" spans="1:18" x14ac:dyDescent="0.25">
      <c r="Q57" s="3"/>
    </row>
    <row r="58" spans="1:18" x14ac:dyDescent="0.25">
      <c r="Q58" s="3"/>
    </row>
    <row r="59" spans="1:18" x14ac:dyDescent="0.25">
      <c r="Q59" s="3"/>
    </row>
    <row r="60" spans="1:18" x14ac:dyDescent="0.25">
      <c r="Q60" s="3"/>
    </row>
    <row r="61" spans="1:18" x14ac:dyDescent="0.25">
      <c r="Q61" s="3"/>
    </row>
    <row r="62" spans="1:18" x14ac:dyDescent="0.25">
      <c r="Q62" s="3"/>
    </row>
    <row r="63" spans="1:18" x14ac:dyDescent="0.25">
      <c r="Q63" s="3"/>
    </row>
    <row r="64" spans="1:18" x14ac:dyDescent="0.25">
      <c r="Q64" s="3"/>
    </row>
    <row r="65" spans="17:17" x14ac:dyDescent="0.25">
      <c r="Q65" s="3"/>
    </row>
    <row r="66" spans="17:17" x14ac:dyDescent="0.25">
      <c r="Q66" s="3"/>
    </row>
    <row r="67" spans="17:17" x14ac:dyDescent="0.25">
      <c r="Q67" s="3"/>
    </row>
    <row r="68" spans="17:17" x14ac:dyDescent="0.25">
      <c r="Q68" s="3"/>
    </row>
    <row r="69" spans="17:17" x14ac:dyDescent="0.25">
      <c r="Q69" s="3"/>
    </row>
    <row r="70" spans="17:17" x14ac:dyDescent="0.25">
      <c r="Q70" s="3"/>
    </row>
    <row r="71" spans="17:17" x14ac:dyDescent="0.25">
      <c r="Q71" s="3"/>
    </row>
    <row r="72" spans="17:17" x14ac:dyDescent="0.25">
      <c r="Q72" s="3"/>
    </row>
    <row r="73" spans="17:17" x14ac:dyDescent="0.25">
      <c r="Q73" s="3"/>
    </row>
    <row r="74" spans="17:17" x14ac:dyDescent="0.25">
      <c r="Q74" s="3"/>
    </row>
    <row r="75" spans="17:17" x14ac:dyDescent="0.25">
      <c r="Q75" s="3"/>
    </row>
    <row r="76" spans="17:17" x14ac:dyDescent="0.25">
      <c r="Q76" s="3"/>
    </row>
    <row r="77" spans="17:17" x14ac:dyDescent="0.25">
      <c r="Q77" s="3"/>
    </row>
    <row r="78" spans="17:17" x14ac:dyDescent="0.25">
      <c r="Q78" s="3"/>
    </row>
    <row r="79" spans="17:17" x14ac:dyDescent="0.25">
      <c r="Q79" s="3"/>
    </row>
    <row r="80" spans="17:17" x14ac:dyDescent="0.25">
      <c r="Q80" s="3"/>
    </row>
    <row r="81" spans="17:17" x14ac:dyDescent="0.25">
      <c r="Q81" s="3"/>
    </row>
    <row r="82" spans="17:17" x14ac:dyDescent="0.25">
      <c r="Q82" s="3"/>
    </row>
    <row r="83" spans="17:17" x14ac:dyDescent="0.25">
      <c r="Q83" s="3"/>
    </row>
    <row r="84" spans="17:17" x14ac:dyDescent="0.25">
      <c r="Q84" s="3"/>
    </row>
    <row r="85" spans="17:17" x14ac:dyDescent="0.25">
      <c r="Q85" s="3"/>
    </row>
    <row r="86" spans="17:17" x14ac:dyDescent="0.25">
      <c r="Q86" s="3"/>
    </row>
    <row r="87" spans="17:17" x14ac:dyDescent="0.25">
      <c r="Q87" s="3"/>
    </row>
    <row r="88" spans="17:17" x14ac:dyDescent="0.25">
      <c r="Q88" s="3"/>
    </row>
    <row r="89" spans="17:17" x14ac:dyDescent="0.25">
      <c r="Q89" s="3"/>
    </row>
    <row r="90" spans="17:17" x14ac:dyDescent="0.25">
      <c r="Q90" s="3"/>
    </row>
    <row r="91" spans="17:17" x14ac:dyDescent="0.25">
      <c r="Q91" s="3"/>
    </row>
    <row r="92" spans="17:17" x14ac:dyDescent="0.25">
      <c r="Q92" s="3"/>
    </row>
    <row r="93" spans="17:17" x14ac:dyDescent="0.25">
      <c r="Q93" s="3"/>
    </row>
    <row r="94" spans="17:17" x14ac:dyDescent="0.25">
      <c r="Q94" s="3"/>
    </row>
    <row r="95" spans="17:17" x14ac:dyDescent="0.25">
      <c r="Q95" s="3"/>
    </row>
    <row r="96" spans="17:17" x14ac:dyDescent="0.25">
      <c r="Q96" s="3"/>
    </row>
    <row r="97" spans="17:17" x14ac:dyDescent="0.25">
      <c r="Q97" s="3"/>
    </row>
    <row r="98" spans="17:17" x14ac:dyDescent="0.25">
      <c r="Q98" s="3"/>
    </row>
    <row r="99" spans="17:17" x14ac:dyDescent="0.25">
      <c r="Q99" s="3"/>
    </row>
    <row r="100" spans="17:17" x14ac:dyDescent="0.25">
      <c r="Q100" s="3"/>
    </row>
    <row r="101" spans="17:17" x14ac:dyDescent="0.25">
      <c r="Q101" s="3"/>
    </row>
    <row r="102" spans="17:17" x14ac:dyDescent="0.25">
      <c r="Q102" s="3"/>
    </row>
    <row r="103" spans="17:17" x14ac:dyDescent="0.25">
      <c r="Q103" s="3"/>
    </row>
    <row r="104" spans="17:17" x14ac:dyDescent="0.25">
      <c r="Q104" s="3"/>
    </row>
    <row r="105" spans="17:17" x14ac:dyDescent="0.25">
      <c r="Q105" s="3"/>
    </row>
    <row r="106" spans="17:17" x14ac:dyDescent="0.25">
      <c r="Q106" s="3"/>
    </row>
    <row r="107" spans="17:17" x14ac:dyDescent="0.25">
      <c r="Q107" s="3"/>
    </row>
    <row r="108" spans="17:17" x14ac:dyDescent="0.25">
      <c r="Q108" s="3"/>
    </row>
    <row r="109" spans="17:17" x14ac:dyDescent="0.25">
      <c r="Q109" s="3"/>
    </row>
    <row r="110" spans="17:17" x14ac:dyDescent="0.25">
      <c r="Q110" s="3"/>
    </row>
    <row r="111" spans="17:17" x14ac:dyDescent="0.25">
      <c r="Q111" s="3"/>
    </row>
    <row r="112" spans="17:17" x14ac:dyDescent="0.25">
      <c r="Q112" s="3"/>
    </row>
    <row r="113" spans="4:17" x14ac:dyDescent="0.25">
      <c r="Q113" s="3"/>
    </row>
    <row r="114" spans="4:17" x14ac:dyDescent="0.25">
      <c r="Q114" s="3"/>
    </row>
    <row r="115" spans="4:17" x14ac:dyDescent="0.25">
      <c r="Q115" s="3"/>
    </row>
    <row r="116" spans="4:17" x14ac:dyDescent="0.25">
      <c r="Q116" s="3"/>
    </row>
    <row r="117" spans="4:17" x14ac:dyDescent="0.25">
      <c r="Q117" s="3"/>
    </row>
    <row r="118" spans="4:17" x14ac:dyDescent="0.25">
      <c r="Q118" s="3"/>
    </row>
    <row r="119" spans="4:17" x14ac:dyDescent="0.25">
      <c r="Q119" s="3"/>
    </row>
    <row r="120" spans="4:17" x14ac:dyDescent="0.25">
      <c r="D120" s="28"/>
      <c r="E120" s="28"/>
      <c r="G120" s="28"/>
      <c r="H120" s="28"/>
      <c r="I120" s="28"/>
      <c r="M120" s="28"/>
      <c r="N120" s="28"/>
      <c r="Q120" s="3"/>
    </row>
    <row r="121" spans="4:17" x14ac:dyDescent="0.25">
      <c r="Q121" s="3"/>
    </row>
    <row r="122" spans="4:17" x14ac:dyDescent="0.25">
      <c r="Q122" s="3"/>
    </row>
    <row r="123" spans="4:17" x14ac:dyDescent="0.25">
      <c r="Q123" s="3"/>
    </row>
    <row r="124" spans="4:17" x14ac:dyDescent="0.25">
      <c r="Q124" s="3"/>
    </row>
    <row r="125" spans="4:17" x14ac:dyDescent="0.25">
      <c r="Q125" s="3"/>
    </row>
    <row r="126" spans="4:17" x14ac:dyDescent="0.25">
      <c r="Q126" s="3"/>
    </row>
    <row r="127" spans="4:17" x14ac:dyDescent="0.25">
      <c r="Q127" s="3"/>
    </row>
    <row r="128" spans="4:17" x14ac:dyDescent="0.25">
      <c r="Q128" s="3"/>
    </row>
    <row r="129" spans="17:17" x14ac:dyDescent="0.25">
      <c r="Q129" s="3"/>
    </row>
    <row r="130" spans="17:17" x14ac:dyDescent="0.25">
      <c r="Q130" s="3"/>
    </row>
    <row r="131" spans="17:17" x14ac:dyDescent="0.25">
      <c r="Q131" s="3"/>
    </row>
    <row r="132" spans="17:17" x14ac:dyDescent="0.25">
      <c r="Q132" s="3"/>
    </row>
    <row r="133" spans="17:17" x14ac:dyDescent="0.25">
      <c r="Q133" s="3"/>
    </row>
    <row r="134" spans="17:17" x14ac:dyDescent="0.25">
      <c r="Q134" s="3"/>
    </row>
    <row r="135" spans="17:17" x14ac:dyDescent="0.25">
      <c r="Q135" s="3"/>
    </row>
    <row r="136" spans="17:17" x14ac:dyDescent="0.25">
      <c r="Q136" s="3"/>
    </row>
    <row r="137" spans="17:17" x14ac:dyDescent="0.25">
      <c r="Q137" s="3"/>
    </row>
    <row r="138" spans="17:17" x14ac:dyDescent="0.25">
      <c r="Q138" s="3"/>
    </row>
    <row r="139" spans="17:17" x14ac:dyDescent="0.25">
      <c r="Q139" s="3"/>
    </row>
    <row r="140" spans="17:17" x14ac:dyDescent="0.25">
      <c r="Q140" s="3"/>
    </row>
    <row r="141" spans="17:17" x14ac:dyDescent="0.25">
      <c r="Q141" s="3"/>
    </row>
    <row r="142" spans="17:17" x14ac:dyDescent="0.25">
      <c r="Q142" s="3"/>
    </row>
    <row r="143" spans="17:17" x14ac:dyDescent="0.25">
      <c r="Q143" s="3"/>
    </row>
    <row r="144" spans="17:17" x14ac:dyDescent="0.25">
      <c r="Q144" s="3"/>
    </row>
    <row r="145" spans="17:17" x14ac:dyDescent="0.25">
      <c r="Q145" s="3"/>
    </row>
    <row r="146" spans="17:17" x14ac:dyDescent="0.25">
      <c r="Q146" s="3"/>
    </row>
    <row r="147" spans="17:17" x14ac:dyDescent="0.25">
      <c r="Q147" s="3"/>
    </row>
    <row r="148" spans="17:17" x14ac:dyDescent="0.25">
      <c r="Q148" s="3"/>
    </row>
    <row r="149" spans="17:17" x14ac:dyDescent="0.25">
      <c r="Q149" s="3"/>
    </row>
    <row r="150" spans="17:17" x14ac:dyDescent="0.25">
      <c r="Q150" s="3"/>
    </row>
    <row r="151" spans="17:17" x14ac:dyDescent="0.25">
      <c r="Q151" s="3"/>
    </row>
    <row r="152" spans="17:17" x14ac:dyDescent="0.25">
      <c r="Q152" s="3"/>
    </row>
    <row r="153" spans="17:17" x14ac:dyDescent="0.25">
      <c r="Q153" s="3"/>
    </row>
    <row r="154" spans="17:17" x14ac:dyDescent="0.25">
      <c r="Q154" s="3"/>
    </row>
    <row r="155" spans="17:17" x14ac:dyDescent="0.25">
      <c r="Q155" s="3"/>
    </row>
    <row r="156" spans="17:17" x14ac:dyDescent="0.25">
      <c r="Q156" s="3"/>
    </row>
    <row r="157" spans="17:17" x14ac:dyDescent="0.25">
      <c r="Q157" s="3"/>
    </row>
    <row r="158" spans="17:17" x14ac:dyDescent="0.25">
      <c r="Q158" s="3"/>
    </row>
    <row r="159" spans="17:17" x14ac:dyDescent="0.25">
      <c r="Q159" s="3"/>
    </row>
    <row r="160" spans="17:17" x14ac:dyDescent="0.25">
      <c r="Q160" s="3"/>
    </row>
    <row r="161" spans="17:17" x14ac:dyDescent="0.25">
      <c r="Q161" s="3"/>
    </row>
    <row r="162" spans="17:17" x14ac:dyDescent="0.25">
      <c r="Q162" s="3"/>
    </row>
    <row r="163" spans="17:17" x14ac:dyDescent="0.25">
      <c r="Q163" s="3"/>
    </row>
    <row r="164" spans="17:17" x14ac:dyDescent="0.25">
      <c r="Q164" s="3"/>
    </row>
    <row r="165" spans="17:17" x14ac:dyDescent="0.25">
      <c r="Q165" s="3"/>
    </row>
    <row r="166" spans="17:17" x14ac:dyDescent="0.25">
      <c r="Q166" s="3"/>
    </row>
    <row r="167" spans="17:17" x14ac:dyDescent="0.25">
      <c r="Q167" s="3"/>
    </row>
    <row r="168" spans="17:17" x14ac:dyDescent="0.25">
      <c r="Q168" s="3"/>
    </row>
    <row r="169" spans="17:17" x14ac:dyDescent="0.25">
      <c r="Q169" s="3"/>
    </row>
    <row r="170" spans="17:17" x14ac:dyDescent="0.25">
      <c r="Q170" s="3"/>
    </row>
    <row r="171" spans="17:17" x14ac:dyDescent="0.25">
      <c r="Q171" s="3"/>
    </row>
    <row r="172" spans="17:17" x14ac:dyDescent="0.25">
      <c r="Q172" s="3"/>
    </row>
    <row r="173" spans="17:17" x14ac:dyDescent="0.25">
      <c r="Q173" s="3"/>
    </row>
    <row r="174" spans="17:17" x14ac:dyDescent="0.25">
      <c r="Q174" s="3"/>
    </row>
    <row r="175" spans="17:17" x14ac:dyDescent="0.25">
      <c r="Q175" s="3"/>
    </row>
    <row r="176" spans="17:17" x14ac:dyDescent="0.25">
      <c r="Q176" s="3"/>
    </row>
    <row r="177" spans="17:17" x14ac:dyDescent="0.25">
      <c r="Q177" s="3"/>
    </row>
    <row r="178" spans="17:17" x14ac:dyDescent="0.25">
      <c r="Q178" s="3"/>
    </row>
    <row r="179" spans="17:17" x14ac:dyDescent="0.25">
      <c r="Q179" s="3"/>
    </row>
    <row r="180" spans="17:17" x14ac:dyDescent="0.25">
      <c r="Q180" s="3"/>
    </row>
    <row r="181" spans="17:17" x14ac:dyDescent="0.25">
      <c r="Q181" s="3"/>
    </row>
    <row r="182" spans="17:17" x14ac:dyDescent="0.25">
      <c r="Q182" s="3"/>
    </row>
    <row r="183" spans="17:17" x14ac:dyDescent="0.25">
      <c r="Q183" s="3"/>
    </row>
    <row r="184" spans="17:17" x14ac:dyDescent="0.25">
      <c r="Q184" s="3"/>
    </row>
    <row r="185" spans="17:17" x14ac:dyDescent="0.25">
      <c r="Q185" s="3"/>
    </row>
    <row r="186" spans="17:17" x14ac:dyDescent="0.25">
      <c r="Q186" s="3"/>
    </row>
    <row r="187" spans="17:17" x14ac:dyDescent="0.25">
      <c r="Q187" s="3"/>
    </row>
    <row r="188" spans="17:17" x14ac:dyDescent="0.25">
      <c r="Q188" s="3"/>
    </row>
    <row r="189" spans="17:17" x14ac:dyDescent="0.25">
      <c r="Q189" s="3"/>
    </row>
    <row r="190" spans="17:17" x14ac:dyDescent="0.25">
      <c r="Q190" s="3"/>
    </row>
    <row r="191" spans="17:17" x14ac:dyDescent="0.25">
      <c r="Q191" s="3"/>
    </row>
    <row r="192" spans="17:17" x14ac:dyDescent="0.25">
      <c r="Q192" s="3"/>
    </row>
    <row r="193" spans="17:17" x14ac:dyDescent="0.25">
      <c r="Q193" s="3"/>
    </row>
    <row r="194" spans="17:17" x14ac:dyDescent="0.25">
      <c r="Q194" s="3"/>
    </row>
    <row r="195" spans="17:17" x14ac:dyDescent="0.25">
      <c r="Q195" s="3"/>
    </row>
    <row r="196" spans="17:17" x14ac:dyDescent="0.25">
      <c r="Q196" s="3"/>
    </row>
    <row r="197" spans="17:17" x14ac:dyDescent="0.25">
      <c r="Q19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6DB0-2EC9-4000-B933-214ABDED7FD5}">
  <sheetPr codeName="Sheet5"/>
  <dimension ref="A1:R361"/>
  <sheetViews>
    <sheetView topLeftCell="A336" workbookViewId="0">
      <selection activeCell="E349" sqref="E349"/>
    </sheetView>
  </sheetViews>
  <sheetFormatPr defaultRowHeight="15" x14ac:dyDescent="0.25"/>
  <cols>
    <col min="1" max="1" width="16.7109375" bestFit="1" customWidth="1"/>
    <col min="2" max="2" width="11.140625" style="27" bestFit="1" customWidth="1"/>
    <col min="3" max="3" width="9.28515625" bestFit="1" customWidth="1"/>
    <col min="4" max="5" width="10.5703125" style="27" bestFit="1" customWidth="1"/>
    <col min="6" max="6" width="8.5703125" customWidth="1"/>
    <col min="7" max="8" width="10.42578125" style="27" customWidth="1"/>
    <col min="9" max="9" width="8.7109375" style="34" bestFit="1" customWidth="1"/>
    <col min="10" max="10" width="11.140625" style="27" bestFit="1" customWidth="1"/>
    <col min="11" max="11" width="11.140625" style="35" bestFit="1" customWidth="1"/>
    <col min="12" max="12" width="8.7109375" bestFit="1" customWidth="1"/>
    <col min="13" max="13" width="11.140625" style="27" bestFit="1" customWidth="1"/>
    <col min="14" max="14" width="11.140625" style="35" bestFit="1" customWidth="1"/>
    <col min="15" max="15" width="10.42578125" style="3" bestFit="1" customWidth="1"/>
    <col min="16" max="16" width="11.42578125" bestFit="1" customWidth="1"/>
    <col min="17" max="17" width="10.7109375" style="3" bestFit="1" customWidth="1"/>
    <col min="18" max="18" width="8.42578125" style="36" bestFit="1" customWidth="1"/>
    <col min="22" max="22" width="7.85546875" bestFit="1" customWidth="1"/>
    <col min="23" max="23" width="16.7109375" bestFit="1" customWidth="1"/>
  </cols>
  <sheetData>
    <row r="1" spans="1:18" x14ac:dyDescent="0.25">
      <c r="A1" s="29" t="s">
        <v>51</v>
      </c>
      <c r="B1" s="29"/>
      <c r="C1" s="29"/>
      <c r="D1" s="29"/>
      <c r="E1" s="29"/>
      <c r="I1" s="30" t="s">
        <v>52</v>
      </c>
      <c r="J1" s="29"/>
      <c r="K1" s="31"/>
      <c r="L1" s="29" t="s">
        <v>53</v>
      </c>
      <c r="M1" s="29"/>
      <c r="N1" s="31"/>
      <c r="O1" s="32" t="s">
        <v>54</v>
      </c>
      <c r="P1" s="32"/>
      <c r="Q1" s="32"/>
      <c r="R1" s="33"/>
    </row>
    <row r="2" spans="1:18" x14ac:dyDescent="0.25">
      <c r="A2" t="s">
        <v>55</v>
      </c>
      <c r="B2" s="25" t="s">
        <v>56</v>
      </c>
      <c r="C2" s="24" t="s">
        <v>57</v>
      </c>
      <c r="D2" s="25" t="s">
        <v>58</v>
      </c>
      <c r="E2" s="25" t="s">
        <v>35</v>
      </c>
      <c r="I2" s="34" t="s">
        <v>52</v>
      </c>
      <c r="J2" s="27" t="s">
        <v>58</v>
      </c>
      <c r="K2" s="35" t="s">
        <v>35</v>
      </c>
      <c r="L2" t="s">
        <v>53</v>
      </c>
      <c r="M2" s="27" t="s">
        <v>58</v>
      </c>
      <c r="N2" s="35" t="s">
        <v>11</v>
      </c>
    </row>
    <row r="3" spans="1:18" x14ac:dyDescent="0.25">
      <c r="A3" t="s">
        <v>59</v>
      </c>
      <c r="B3" s="27" t="s">
        <v>60</v>
      </c>
      <c r="C3" t="s">
        <v>36</v>
      </c>
      <c r="D3" s="27" t="s">
        <v>61</v>
      </c>
      <c r="E3" s="27" t="s">
        <v>61</v>
      </c>
      <c r="F3" t="s">
        <v>36</v>
      </c>
      <c r="G3" s="27" t="s">
        <v>61</v>
      </c>
      <c r="H3" s="27" t="s">
        <v>61</v>
      </c>
      <c r="I3" s="34" t="s">
        <v>62</v>
      </c>
      <c r="J3" s="27" t="s">
        <v>60</v>
      </c>
      <c r="K3" s="35" t="s">
        <v>60</v>
      </c>
      <c r="L3" t="s">
        <v>62</v>
      </c>
      <c r="M3" s="27" t="s">
        <v>60</v>
      </c>
      <c r="N3" s="35" t="s">
        <v>60</v>
      </c>
      <c r="O3" s="3" t="s">
        <v>1</v>
      </c>
      <c r="P3" s="24" t="s">
        <v>45</v>
      </c>
      <c r="Q3" s="2" t="s">
        <v>46</v>
      </c>
      <c r="R3" s="36" t="s">
        <v>63</v>
      </c>
    </row>
    <row r="4" spans="1:18" x14ac:dyDescent="0.25">
      <c r="A4">
        <v>0</v>
      </c>
      <c r="B4" s="27">
        <v>0</v>
      </c>
      <c r="C4">
        <v>0</v>
      </c>
      <c r="D4" s="27">
        <v>0</v>
      </c>
      <c r="E4" s="27">
        <v>0</v>
      </c>
      <c r="I4" s="34">
        <v>0</v>
      </c>
      <c r="J4" s="27">
        <v>0</v>
      </c>
      <c r="K4" s="35">
        <v>0</v>
      </c>
      <c r="L4">
        <v>0</v>
      </c>
      <c r="M4" s="27">
        <v>0</v>
      </c>
      <c r="N4" s="35">
        <v>0</v>
      </c>
      <c r="O4" s="39">
        <v>0</v>
      </c>
      <c r="P4" t="str">
        <f t="shared" ref="P4:P67" si="0">TEXT(O4,"mmmm")</f>
        <v>January</v>
      </c>
      <c r="Q4" s="3">
        <f t="shared" ref="Q4:Q67" si="1">O4-WEEKDAY(O4,1)+2</f>
        <v>-5</v>
      </c>
      <c r="R4" s="36" t="str" cm="1">
        <f t="array" ref="R4">IFERROR(
  _xlfn.LET(
    _xlpm.cleaned, TRIM(SUBSTITUTE(A4,CHAR(160),"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/>
      </c>
    </row>
    <row r="5" spans="1:18" x14ac:dyDescent="0.25">
      <c r="A5" t="s">
        <v>64</v>
      </c>
      <c r="B5" s="27">
        <v>0.15755787037037036</v>
      </c>
      <c r="C5">
        <v>20</v>
      </c>
      <c r="D5" s="27">
        <v>2.0023148148148148E-3</v>
      </c>
      <c r="E5" s="27">
        <v>4.0057870370370369E-2</v>
      </c>
      <c r="F5">
        <v>0</v>
      </c>
      <c r="G5" s="27">
        <v>0</v>
      </c>
      <c r="H5" s="27">
        <v>0</v>
      </c>
      <c r="I5" s="34">
        <v>26</v>
      </c>
      <c r="J5" s="27">
        <v>3.3564814814814812E-4</v>
      </c>
      <c r="K5" s="35">
        <v>8.5995370370370375E-3</v>
      </c>
      <c r="L5">
        <v>3</v>
      </c>
      <c r="M5" s="27">
        <v>4.9652777777777777E-3</v>
      </c>
      <c r="N5" s="35">
        <v>1.4907407407407407E-2</v>
      </c>
      <c r="O5" s="3">
        <v>45933</v>
      </c>
      <c r="P5" t="str">
        <f t="shared" si="0"/>
        <v>October</v>
      </c>
      <c r="Q5" s="3">
        <f t="shared" si="1"/>
        <v>45929</v>
      </c>
      <c r="R5" s="36" t="str" cm="1">
        <f t="array" ref="R5">IFERROR(
  _xlfn.LET(
    _xlpm.cleaned, TRIM(SUBSTITUTE(A5,CHAR(160),"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6" spans="1:18" x14ac:dyDescent="0.25">
      <c r="A6" t="s">
        <v>64</v>
      </c>
      <c r="B6" s="27">
        <v>0.33585648148148151</v>
      </c>
      <c r="C6">
        <v>61</v>
      </c>
      <c r="D6" s="27">
        <v>2.0717592592592593E-3</v>
      </c>
      <c r="E6" s="27">
        <v>0.12621527777777777</v>
      </c>
      <c r="F6">
        <v>3</v>
      </c>
      <c r="G6" s="27">
        <v>2.3148148148148147E-3</v>
      </c>
      <c r="H6" s="27">
        <v>6.9444444444444441E-3</v>
      </c>
      <c r="I6" s="34">
        <v>59</v>
      </c>
      <c r="J6" s="27">
        <v>3.0092592592592595E-4</v>
      </c>
      <c r="K6" s="35">
        <v>1.7430555555555557E-2</v>
      </c>
      <c r="L6">
        <v>3</v>
      </c>
      <c r="M6" s="27">
        <v>1.1597222222222222E-2</v>
      </c>
      <c r="N6" s="35">
        <v>3.4791666666666665E-2</v>
      </c>
      <c r="O6" s="3">
        <v>45936</v>
      </c>
      <c r="P6" t="str">
        <f t="shared" si="0"/>
        <v>October</v>
      </c>
      <c r="Q6" s="3">
        <f t="shared" si="1"/>
        <v>45936</v>
      </c>
      <c r="R6" s="36" t="str" cm="1">
        <f t="array" ref="R6">IFERROR(
  _xlfn.LET(
    _xlpm.cleaned, TRIM(SUBSTITUTE(A6,CHAR(160),"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7" spans="1:18" x14ac:dyDescent="0.25">
      <c r="A7" t="s">
        <v>64</v>
      </c>
      <c r="B7" s="27">
        <v>0.27500000000000002</v>
      </c>
      <c r="C7">
        <v>33</v>
      </c>
      <c r="D7" s="27">
        <v>2.7314814814814814E-3</v>
      </c>
      <c r="E7" s="27">
        <v>9.0011574074074077E-2</v>
      </c>
      <c r="F7">
        <v>0</v>
      </c>
      <c r="G7" s="27">
        <v>0</v>
      </c>
      <c r="H7" s="27">
        <v>0</v>
      </c>
      <c r="I7" s="34">
        <v>49</v>
      </c>
      <c r="J7" s="27">
        <v>3.5879629629629629E-4</v>
      </c>
      <c r="K7" s="35">
        <v>1.755787037037037E-2</v>
      </c>
      <c r="L7">
        <v>6</v>
      </c>
      <c r="M7" s="27">
        <v>4.0740740740740737E-3</v>
      </c>
      <c r="N7" s="35">
        <v>2.4456018518518519E-2</v>
      </c>
      <c r="O7" s="3">
        <v>45937</v>
      </c>
      <c r="P7" t="str">
        <f t="shared" si="0"/>
        <v>October</v>
      </c>
      <c r="Q7" s="3">
        <f t="shared" si="1"/>
        <v>45936</v>
      </c>
      <c r="R7" s="36" t="str" cm="1">
        <f t="array" ref="R7">IFERROR(
  _xlfn.LET(
    _xlpm.cleaned, TRIM(SUBSTITUTE(A7,CHAR(160),"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8" spans="1:18" x14ac:dyDescent="0.25">
      <c r="A8" t="s">
        <v>64</v>
      </c>
      <c r="B8" s="27">
        <v>0.31662037037037039</v>
      </c>
      <c r="C8">
        <v>48</v>
      </c>
      <c r="D8" s="27">
        <v>2.1180555555555558E-3</v>
      </c>
      <c r="E8" s="27">
        <v>0.10157407407407408</v>
      </c>
      <c r="F8">
        <v>2</v>
      </c>
      <c r="G8" s="27">
        <v>1.712962962962963E-3</v>
      </c>
      <c r="H8" s="27">
        <v>3.425925925925926E-3</v>
      </c>
      <c r="I8" s="34">
        <v>68</v>
      </c>
      <c r="J8" s="27">
        <v>3.8194444444444446E-4</v>
      </c>
      <c r="K8" s="35">
        <v>2.5787037037037035E-2</v>
      </c>
      <c r="L8">
        <v>6</v>
      </c>
      <c r="M8" s="27">
        <v>3.3796296296296296E-3</v>
      </c>
      <c r="N8" s="35">
        <v>2.0300925925925927E-2</v>
      </c>
      <c r="O8" s="3">
        <v>45938</v>
      </c>
      <c r="P8" t="str">
        <f t="shared" si="0"/>
        <v>October</v>
      </c>
      <c r="Q8" s="3">
        <f t="shared" si="1"/>
        <v>45936</v>
      </c>
      <c r="R8" s="36" t="str" cm="1">
        <f t="array" ref="R8">IFERROR(
  _xlfn.LET(
    _xlpm.cleaned, TRIM(SUBSTITUTE(A8,CHAR(160),"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9" spans="1:18" x14ac:dyDescent="0.25">
      <c r="A9" t="s">
        <v>64</v>
      </c>
      <c r="B9" s="27">
        <v>0.30368055555555556</v>
      </c>
      <c r="C9">
        <v>33</v>
      </c>
      <c r="D9" s="27">
        <v>1.8402777777777777E-3</v>
      </c>
      <c r="E9" s="27">
        <v>6.0914351851851851E-2</v>
      </c>
      <c r="F9">
        <v>2</v>
      </c>
      <c r="G9" s="27">
        <v>6.4814814814814813E-4</v>
      </c>
      <c r="H9" s="27">
        <v>1.3078703703703703E-3</v>
      </c>
      <c r="I9" s="34">
        <v>66</v>
      </c>
      <c r="J9" s="27">
        <v>6.8287037037037036E-4</v>
      </c>
      <c r="K9" s="35">
        <v>4.5324074074074072E-2</v>
      </c>
      <c r="L9">
        <v>7</v>
      </c>
      <c r="M9" s="27">
        <v>3.7847222222222223E-3</v>
      </c>
      <c r="N9" s="35">
        <v>2.6527777777777779E-2</v>
      </c>
      <c r="O9" s="3">
        <v>45939</v>
      </c>
      <c r="P9" t="str">
        <f t="shared" si="0"/>
        <v>October</v>
      </c>
      <c r="Q9" s="3">
        <f t="shared" si="1"/>
        <v>45936</v>
      </c>
      <c r="R9" s="36" t="str" cm="1">
        <f t="array" ref="R9">IFERROR(
  _xlfn.LET(
    _xlpm.cleaned, TRIM(SUBSTITUTE(A9,CHAR(160),"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0" spans="1:18" x14ac:dyDescent="0.25">
      <c r="A10" t="s">
        <v>64</v>
      </c>
      <c r="B10" s="27">
        <v>0.32201388888888888</v>
      </c>
      <c r="C10">
        <v>34</v>
      </c>
      <c r="D10" s="27">
        <v>2.3032407407407407E-3</v>
      </c>
      <c r="E10" s="27">
        <v>7.840277777777778E-2</v>
      </c>
      <c r="F10">
        <v>2</v>
      </c>
      <c r="G10" s="27">
        <v>8.2175925925925927E-4</v>
      </c>
      <c r="H10" s="27">
        <v>1.6435185185185185E-3</v>
      </c>
      <c r="I10" s="34">
        <v>68</v>
      </c>
      <c r="J10" s="27">
        <v>3.8194444444444446E-4</v>
      </c>
      <c r="K10" s="35">
        <v>2.5868055555555554E-2</v>
      </c>
      <c r="L10">
        <v>7</v>
      </c>
      <c r="M10" s="27">
        <v>3.2407407407407406E-3</v>
      </c>
      <c r="N10" s="35">
        <v>2.2719907407407407E-2</v>
      </c>
      <c r="O10" s="3">
        <v>45940</v>
      </c>
      <c r="P10" t="str">
        <f t="shared" si="0"/>
        <v>October</v>
      </c>
      <c r="Q10" s="3">
        <f t="shared" si="1"/>
        <v>45936</v>
      </c>
      <c r="R10" s="36" t="str" cm="1">
        <f t="array" ref="R10">IFERROR(
  _xlfn.LET(
    _xlpm.cleaned, TRIM(SUBSTITUTE(A10,CHAR(160),"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1" spans="1:18" x14ac:dyDescent="0.25">
      <c r="A11" t="s">
        <v>64</v>
      </c>
      <c r="B11" s="27">
        <v>0.33719907407407407</v>
      </c>
      <c r="C11">
        <v>45</v>
      </c>
      <c r="D11" s="27">
        <v>2.3032407407407407E-3</v>
      </c>
      <c r="E11" s="27">
        <v>0.10385416666666666</v>
      </c>
      <c r="F11">
        <v>2</v>
      </c>
      <c r="G11" s="27">
        <v>3.2175925925925926E-3</v>
      </c>
      <c r="H11" s="27">
        <v>6.4467592592592588E-3</v>
      </c>
      <c r="I11" s="34">
        <v>74</v>
      </c>
      <c r="J11" s="27">
        <v>2.8935185185185184E-4</v>
      </c>
      <c r="K11" s="35">
        <v>2.1446759259259259E-2</v>
      </c>
      <c r="L11">
        <v>6</v>
      </c>
      <c r="M11" s="27">
        <v>3.9583333333333337E-3</v>
      </c>
      <c r="N11" s="35">
        <v>2.3784722222222221E-2</v>
      </c>
      <c r="O11" s="3">
        <v>45943</v>
      </c>
      <c r="P11" t="str">
        <f t="shared" si="0"/>
        <v>October</v>
      </c>
      <c r="Q11" s="3">
        <f t="shared" si="1"/>
        <v>45943</v>
      </c>
      <c r="R11" s="36" t="str" cm="1">
        <f t="array" ref="R11">IFERROR(
  _xlfn.LET(
    _xlpm.cleaned, TRIM(SUBSTITUTE(A11,CHAR(160),"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2" spans="1:18" x14ac:dyDescent="0.25">
      <c r="A12" t="s">
        <v>64</v>
      </c>
      <c r="B12" s="27">
        <v>0.30841435185185184</v>
      </c>
      <c r="C12">
        <v>38</v>
      </c>
      <c r="D12" s="27">
        <v>2.3032407407407407E-3</v>
      </c>
      <c r="E12" s="27">
        <v>8.7326388888888884E-2</v>
      </c>
      <c r="F12">
        <v>1</v>
      </c>
      <c r="G12" s="27">
        <v>2.7777777777777778E-4</v>
      </c>
      <c r="H12" s="27">
        <v>2.7777777777777778E-4</v>
      </c>
      <c r="I12" s="34">
        <v>51</v>
      </c>
      <c r="J12" s="27">
        <v>3.5879629629629629E-4</v>
      </c>
      <c r="K12" s="35">
        <v>1.8379629629629631E-2</v>
      </c>
      <c r="L12">
        <v>6</v>
      </c>
      <c r="M12" s="27">
        <v>3.0671296296296297E-3</v>
      </c>
      <c r="N12" s="35">
        <v>1.8402777777777778E-2</v>
      </c>
      <c r="O12" s="3">
        <v>45944</v>
      </c>
      <c r="P12" t="str">
        <f t="shared" si="0"/>
        <v>October</v>
      </c>
      <c r="Q12" s="3">
        <f t="shared" si="1"/>
        <v>45943</v>
      </c>
      <c r="R12" s="36" t="str" cm="1">
        <f t="array" ref="R12">IFERROR(
  _xlfn.LET(
    _xlpm.cleaned, TRIM(SUBSTITUTE(A12,CHAR(160),"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3" spans="1:18" x14ac:dyDescent="0.25">
      <c r="A13" t="s">
        <v>64</v>
      </c>
      <c r="B13" s="27">
        <v>0.31640046296296298</v>
      </c>
      <c r="C13">
        <v>36</v>
      </c>
      <c r="D13" s="27">
        <v>2.1759259259259258E-3</v>
      </c>
      <c r="E13" s="27">
        <v>7.8368055555555552E-2</v>
      </c>
      <c r="F13">
        <v>0</v>
      </c>
      <c r="G13" s="27">
        <v>0</v>
      </c>
      <c r="H13" s="27">
        <v>0</v>
      </c>
      <c r="I13" s="34">
        <v>68</v>
      </c>
      <c r="J13" s="27">
        <v>3.5879629629629629E-4</v>
      </c>
      <c r="K13" s="35">
        <v>2.4085648148148148E-2</v>
      </c>
      <c r="L13">
        <v>7</v>
      </c>
      <c r="M13" s="27">
        <v>3.5763888888888889E-3</v>
      </c>
      <c r="N13" s="35">
        <v>2.5057870370370369E-2</v>
      </c>
      <c r="O13" s="3">
        <v>45945</v>
      </c>
      <c r="P13" t="str">
        <f t="shared" si="0"/>
        <v>October</v>
      </c>
      <c r="Q13" s="3">
        <f t="shared" si="1"/>
        <v>45943</v>
      </c>
      <c r="R13" s="36" t="str" cm="1">
        <f t="array" ref="R13">IFERROR(
  _xlfn.LET(
    _xlpm.cleaned, TRIM(SUBSTITUTE(A13,CHAR(160),"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4" spans="1:18" x14ac:dyDescent="0.25">
      <c r="A14" t="s">
        <v>64</v>
      </c>
      <c r="B14" s="27">
        <v>0.32478009259259261</v>
      </c>
      <c r="C14">
        <v>51</v>
      </c>
      <c r="D14" s="27">
        <v>2.1180555555555558E-3</v>
      </c>
      <c r="E14" s="27">
        <v>0.10789351851851851</v>
      </c>
      <c r="F14">
        <v>0</v>
      </c>
      <c r="G14" s="27">
        <v>0</v>
      </c>
      <c r="H14" s="27">
        <v>0</v>
      </c>
      <c r="I14" s="34">
        <v>74</v>
      </c>
      <c r="J14" s="27">
        <v>5.6712962962962967E-4</v>
      </c>
      <c r="K14" s="35">
        <v>4.2048611111111113E-2</v>
      </c>
      <c r="L14">
        <v>7</v>
      </c>
      <c r="M14" s="27">
        <v>5.0694444444444441E-3</v>
      </c>
      <c r="N14" s="35">
        <v>3.5474537037037034E-2</v>
      </c>
      <c r="O14" s="3">
        <v>45946</v>
      </c>
      <c r="P14" t="str">
        <f t="shared" si="0"/>
        <v>October</v>
      </c>
      <c r="Q14" s="3">
        <f t="shared" si="1"/>
        <v>45943</v>
      </c>
      <c r="R14" s="36" t="str" cm="1">
        <f t="array" ref="R14">IFERROR(
  _xlfn.LET(
    _xlpm.cleaned, TRIM(SUBSTITUTE(A14,CHAR(160),"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5" spans="1:18" x14ac:dyDescent="0.25">
      <c r="A15" t="s">
        <v>64</v>
      </c>
      <c r="B15" s="27">
        <v>0.30902777777777779</v>
      </c>
      <c r="C15">
        <v>38</v>
      </c>
      <c r="D15" s="27">
        <v>2.2800925925925927E-3</v>
      </c>
      <c r="E15" s="27">
        <v>8.684027777777778E-2</v>
      </c>
      <c r="F15">
        <v>0</v>
      </c>
      <c r="G15" s="27">
        <v>0</v>
      </c>
      <c r="H15" s="27">
        <v>0</v>
      </c>
      <c r="I15" s="34">
        <v>47</v>
      </c>
      <c r="J15" s="27">
        <v>3.2407407407407406E-4</v>
      </c>
      <c r="K15" s="35">
        <v>1.4988425925925926E-2</v>
      </c>
      <c r="L15">
        <v>9</v>
      </c>
      <c r="M15" s="27">
        <v>2.4652777777777776E-3</v>
      </c>
      <c r="N15" s="35">
        <v>2.2164351851851852E-2</v>
      </c>
      <c r="O15" s="3">
        <v>45947</v>
      </c>
      <c r="P15" t="str">
        <f t="shared" si="0"/>
        <v>October</v>
      </c>
      <c r="Q15" s="3">
        <f t="shared" si="1"/>
        <v>45943</v>
      </c>
      <c r="R15" s="36" t="str" cm="1">
        <f t="array" ref="R15">IFERROR(
  _xlfn.LET(
    _xlpm.cleaned, TRIM(SUBSTITUTE(A15,CHAR(160),"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6" spans="1:18" x14ac:dyDescent="0.25">
      <c r="A16" t="s">
        <v>64</v>
      </c>
      <c r="B16" s="27">
        <v>0.32793981481481482</v>
      </c>
      <c r="C16">
        <v>50</v>
      </c>
      <c r="D16" s="27">
        <v>2.9629629629629628E-3</v>
      </c>
      <c r="E16" s="27">
        <v>0.14833333333333334</v>
      </c>
      <c r="F16">
        <v>2</v>
      </c>
      <c r="G16" s="27">
        <v>2.627314814814815E-3</v>
      </c>
      <c r="H16" s="27">
        <v>5.2546296296296299E-3</v>
      </c>
      <c r="I16" s="34">
        <v>71</v>
      </c>
      <c r="J16" s="27">
        <v>3.9351851851851852E-4</v>
      </c>
      <c r="K16" s="35">
        <v>2.8090277777777777E-2</v>
      </c>
      <c r="L16">
        <v>7</v>
      </c>
      <c r="M16" s="27">
        <v>3.6111111111111109E-3</v>
      </c>
      <c r="N16" s="35">
        <v>2.525462962962963E-2</v>
      </c>
      <c r="O16" s="3">
        <v>45950</v>
      </c>
      <c r="P16" t="str">
        <f t="shared" si="0"/>
        <v>October</v>
      </c>
      <c r="Q16" s="3">
        <f t="shared" si="1"/>
        <v>45950</v>
      </c>
      <c r="R16" s="36" t="str" cm="1">
        <f t="array" ref="R16">IFERROR(
  _xlfn.LET(
    _xlpm.cleaned, TRIM(SUBSTITUTE(A16,CHAR(160),"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7" spans="1:18" x14ac:dyDescent="0.25">
      <c r="A17" t="s">
        <v>64</v>
      </c>
      <c r="B17" s="27">
        <v>0.32097222222222221</v>
      </c>
      <c r="C17">
        <v>39</v>
      </c>
      <c r="D17" s="27">
        <v>2.3842592592592591E-3</v>
      </c>
      <c r="E17" s="27">
        <v>9.2893518518518514E-2</v>
      </c>
      <c r="F17">
        <v>1</v>
      </c>
      <c r="G17" s="27">
        <v>2.1412037037037038E-3</v>
      </c>
      <c r="H17" s="27">
        <v>2.1412037037037038E-3</v>
      </c>
      <c r="I17" s="34">
        <v>53</v>
      </c>
      <c r="J17" s="27">
        <v>3.8194444444444446E-4</v>
      </c>
      <c r="K17" s="35">
        <v>2.0243055555555556E-2</v>
      </c>
      <c r="L17">
        <v>10</v>
      </c>
      <c r="M17" s="27">
        <v>3.0208333333333333E-3</v>
      </c>
      <c r="N17" s="35">
        <v>3.0254629629629631E-2</v>
      </c>
      <c r="O17" s="3">
        <v>45951</v>
      </c>
      <c r="P17" t="str">
        <f t="shared" si="0"/>
        <v>October</v>
      </c>
      <c r="Q17" s="3">
        <f t="shared" si="1"/>
        <v>45950</v>
      </c>
      <c r="R17" s="36" t="str" cm="1">
        <f t="array" ref="R17">IFERROR(
  _xlfn.LET(
    _xlpm.cleaned, TRIM(SUBSTITUTE(A17,CHAR(160),"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8" spans="1:18" x14ac:dyDescent="0.25">
      <c r="A18" t="s">
        <v>64</v>
      </c>
      <c r="B18" s="27">
        <v>0.31812499999999999</v>
      </c>
      <c r="C18">
        <v>45</v>
      </c>
      <c r="D18" s="27">
        <v>2.1180555555555558E-3</v>
      </c>
      <c r="E18" s="27">
        <v>9.5185185185185192E-2</v>
      </c>
      <c r="F18">
        <v>1</v>
      </c>
      <c r="G18" s="27">
        <v>1.7939814814814815E-3</v>
      </c>
      <c r="H18" s="27">
        <v>1.7939814814814815E-3</v>
      </c>
      <c r="I18" s="34">
        <v>54</v>
      </c>
      <c r="J18" s="27">
        <v>6.5972222222222224E-4</v>
      </c>
      <c r="K18" s="35">
        <v>3.5358796296296298E-2</v>
      </c>
      <c r="L18">
        <v>5</v>
      </c>
      <c r="M18" s="27">
        <v>4.5833333333333334E-3</v>
      </c>
      <c r="N18" s="35">
        <v>2.2893518518518518E-2</v>
      </c>
      <c r="O18" s="3">
        <v>45952</v>
      </c>
      <c r="P18" t="str">
        <f t="shared" si="0"/>
        <v>October</v>
      </c>
      <c r="Q18" s="3">
        <f t="shared" si="1"/>
        <v>45950</v>
      </c>
      <c r="R18" s="36" t="str" cm="1">
        <f t="array" ref="R18">IFERROR(
  _xlfn.LET(
    _xlpm.cleaned, TRIM(SUBSTITUTE(A18,CHAR(160),"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9" spans="1:18" x14ac:dyDescent="0.25">
      <c r="A19" t="s">
        <v>64</v>
      </c>
      <c r="B19" s="27">
        <v>0.32548611111111109</v>
      </c>
      <c r="C19">
        <v>35</v>
      </c>
      <c r="D19" s="27">
        <v>1.736111111111111E-3</v>
      </c>
      <c r="E19" s="27">
        <v>6.0578703703703704E-2</v>
      </c>
      <c r="F19">
        <v>2</v>
      </c>
      <c r="G19" s="27">
        <v>2.662037037037037E-3</v>
      </c>
      <c r="H19" s="27">
        <v>5.3356481481481484E-3</v>
      </c>
      <c r="I19" s="34">
        <v>80</v>
      </c>
      <c r="J19" s="27">
        <v>4.9768518518518521E-4</v>
      </c>
      <c r="K19" s="35">
        <v>3.9942129629629633E-2</v>
      </c>
      <c r="L19">
        <v>14</v>
      </c>
      <c r="M19" s="27">
        <v>3.2060185185185186E-3</v>
      </c>
      <c r="N19" s="35">
        <v>4.4814814814814814E-2</v>
      </c>
      <c r="O19" s="3">
        <v>45953</v>
      </c>
      <c r="P19" t="str">
        <f t="shared" si="0"/>
        <v>October</v>
      </c>
      <c r="Q19" s="3">
        <f t="shared" si="1"/>
        <v>45950</v>
      </c>
      <c r="R19" s="36" t="str" cm="1">
        <f t="array" ref="R19">IFERROR(
  _xlfn.LET(
    _xlpm.cleaned, TRIM(SUBSTITUTE(A19,CHAR(160),"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0" spans="1:18" x14ac:dyDescent="0.25">
      <c r="A20" t="s">
        <v>64</v>
      </c>
      <c r="B20" s="27">
        <v>0.31723379629629628</v>
      </c>
      <c r="C20">
        <v>35</v>
      </c>
      <c r="D20" s="27">
        <v>2.1643518518518518E-3</v>
      </c>
      <c r="E20" s="27">
        <v>7.5694444444444439E-2</v>
      </c>
      <c r="F20">
        <v>0</v>
      </c>
      <c r="G20" s="27">
        <v>0</v>
      </c>
      <c r="H20" s="27">
        <v>0</v>
      </c>
      <c r="I20" s="34">
        <v>52</v>
      </c>
      <c r="J20" s="27">
        <v>4.6296296296296298E-4</v>
      </c>
      <c r="K20" s="35">
        <v>2.4166666666666666E-2</v>
      </c>
      <c r="L20">
        <v>13</v>
      </c>
      <c r="M20" s="27">
        <v>3.5879629629629629E-3</v>
      </c>
      <c r="N20" s="35">
        <v>4.6631944444444441E-2</v>
      </c>
      <c r="O20" s="3">
        <v>45954</v>
      </c>
      <c r="P20" t="str">
        <f t="shared" si="0"/>
        <v>October</v>
      </c>
      <c r="Q20" s="3">
        <f t="shared" si="1"/>
        <v>45950</v>
      </c>
      <c r="R20" s="36" t="str" cm="1">
        <f t="array" ref="R20">IFERROR(
  _xlfn.LET(
    _xlpm.cleaned, TRIM(SUBSTITUTE(A20,CHAR(160),"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1" spans="1:18" x14ac:dyDescent="0.25">
      <c r="A21" t="s">
        <v>64</v>
      </c>
      <c r="B21" s="27">
        <v>0.32199074074074074</v>
      </c>
      <c r="C21">
        <v>42</v>
      </c>
      <c r="D21" s="27">
        <v>2.0370370370370369E-3</v>
      </c>
      <c r="E21" s="27">
        <v>8.5601851851851846E-2</v>
      </c>
      <c r="F21">
        <v>0</v>
      </c>
      <c r="G21" s="27">
        <v>0</v>
      </c>
      <c r="H21" s="27">
        <v>0</v>
      </c>
      <c r="I21" s="34">
        <v>60</v>
      </c>
      <c r="J21" s="27">
        <v>4.2824074074074075E-4</v>
      </c>
      <c r="K21" s="35">
        <v>2.5844907407407407E-2</v>
      </c>
      <c r="L21">
        <v>6</v>
      </c>
      <c r="M21" s="27">
        <v>1.238425925925926E-3</v>
      </c>
      <c r="N21" s="35">
        <v>7.4305555555555557E-3</v>
      </c>
      <c r="O21" s="3">
        <v>45957</v>
      </c>
      <c r="P21" t="str">
        <f t="shared" si="0"/>
        <v>October</v>
      </c>
      <c r="Q21" s="3">
        <f t="shared" si="1"/>
        <v>45957</v>
      </c>
      <c r="R21" s="36" t="str" cm="1">
        <f t="array" ref="R21">IFERROR(
  _xlfn.LET(
    _xlpm.cleaned, TRIM(SUBSTITUTE(A21,CHAR(160),"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2" spans="1:18" x14ac:dyDescent="0.25">
      <c r="A22" t="s">
        <v>64</v>
      </c>
      <c r="B22" s="27">
        <v>0.28001157407407407</v>
      </c>
      <c r="C22">
        <v>33</v>
      </c>
      <c r="D22" s="27">
        <v>2.4421296296296296E-3</v>
      </c>
      <c r="E22" s="27">
        <v>8.0740740740740738E-2</v>
      </c>
      <c r="F22">
        <v>2</v>
      </c>
      <c r="G22" s="27">
        <v>2.3379629629629631E-3</v>
      </c>
      <c r="H22" s="27">
        <v>4.6759259259259263E-3</v>
      </c>
      <c r="I22" s="34">
        <v>69</v>
      </c>
      <c r="J22" s="27">
        <v>4.9768518518518521E-4</v>
      </c>
      <c r="K22" s="35">
        <v>3.4699074074074077E-2</v>
      </c>
      <c r="L22">
        <v>7</v>
      </c>
      <c r="M22" s="27">
        <v>2.8124999999999999E-3</v>
      </c>
      <c r="N22" s="35">
        <v>1.9675925925925927E-2</v>
      </c>
      <c r="O22" s="3">
        <v>45958</v>
      </c>
      <c r="P22" t="str">
        <f t="shared" si="0"/>
        <v>October</v>
      </c>
      <c r="Q22" s="3">
        <f t="shared" si="1"/>
        <v>45957</v>
      </c>
      <c r="R22" s="36" t="str" cm="1">
        <f t="array" ref="R22">IFERROR(
  _xlfn.LET(
    _xlpm.cleaned, TRIM(SUBSTITUTE(A22,CHAR(160),"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3" spans="1:18" x14ac:dyDescent="0.25">
      <c r="A23" t="s">
        <v>64</v>
      </c>
      <c r="B23" s="27">
        <v>0.30053240740740739</v>
      </c>
      <c r="C23">
        <v>41</v>
      </c>
      <c r="D23" s="27">
        <v>2.5115740740740741E-3</v>
      </c>
      <c r="E23" s="27">
        <v>0.10274305555555556</v>
      </c>
      <c r="F23">
        <v>0</v>
      </c>
      <c r="G23" s="27">
        <v>0</v>
      </c>
      <c r="H23" s="27">
        <v>0</v>
      </c>
      <c r="I23" s="34">
        <v>48</v>
      </c>
      <c r="J23" s="27">
        <v>3.0092592592592595E-4</v>
      </c>
      <c r="K23" s="35">
        <v>1.4398148148148148E-2</v>
      </c>
      <c r="L23">
        <v>6</v>
      </c>
      <c r="M23" s="27">
        <v>2.5925925925925925E-3</v>
      </c>
      <c r="N23" s="35">
        <v>1.5532407407407408E-2</v>
      </c>
      <c r="O23" s="3">
        <v>45959</v>
      </c>
      <c r="P23" t="str">
        <f t="shared" si="0"/>
        <v>October</v>
      </c>
      <c r="Q23" s="3">
        <f t="shared" si="1"/>
        <v>45957</v>
      </c>
      <c r="R23" s="36" t="str" cm="1">
        <f t="array" ref="R23">IFERROR(
  _xlfn.LET(
    _xlpm.cleaned, TRIM(SUBSTITUTE(A23,CHAR(160),"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4" spans="1:18" x14ac:dyDescent="0.25">
      <c r="A24" t="s">
        <v>64</v>
      </c>
      <c r="B24" s="27">
        <v>0.32148148148148148</v>
      </c>
      <c r="C24">
        <v>29</v>
      </c>
      <c r="D24" s="27">
        <v>2.673611111111111E-3</v>
      </c>
      <c r="E24" s="27">
        <v>7.7696759259259257E-2</v>
      </c>
      <c r="F24">
        <v>0</v>
      </c>
      <c r="G24" s="27">
        <v>0</v>
      </c>
      <c r="H24" s="27">
        <v>0</v>
      </c>
      <c r="I24" s="34">
        <v>51</v>
      </c>
      <c r="J24" s="27">
        <v>3.5879629629629629E-4</v>
      </c>
      <c r="K24" s="35">
        <v>1.8437499999999999E-2</v>
      </c>
      <c r="L24">
        <v>8</v>
      </c>
      <c r="M24" s="27">
        <v>2.8124999999999999E-3</v>
      </c>
      <c r="N24" s="35">
        <v>2.2476851851851852E-2</v>
      </c>
      <c r="O24" s="3">
        <v>45960</v>
      </c>
      <c r="P24" t="str">
        <f t="shared" si="0"/>
        <v>October</v>
      </c>
      <c r="Q24" s="3">
        <f t="shared" si="1"/>
        <v>45957</v>
      </c>
      <c r="R24" s="36" t="str" cm="1">
        <f t="array" ref="R24">IFERROR(
  _xlfn.LET(
    _xlpm.cleaned, TRIM(SUBSTITUTE(A24,CHAR(160),"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5" spans="1:18" x14ac:dyDescent="0.25">
      <c r="A25" t="s">
        <v>64</v>
      </c>
      <c r="B25" s="27">
        <v>0.32796296296296296</v>
      </c>
      <c r="C25">
        <v>35</v>
      </c>
      <c r="D25" s="27">
        <v>1.8749999999999999E-3</v>
      </c>
      <c r="E25" s="27">
        <v>6.5798611111111113E-2</v>
      </c>
      <c r="F25">
        <v>0</v>
      </c>
      <c r="G25" s="27">
        <v>0</v>
      </c>
      <c r="H25" s="27">
        <v>0</v>
      </c>
      <c r="I25" s="34">
        <v>51</v>
      </c>
      <c r="J25" s="27">
        <v>5.3240740740740744E-4</v>
      </c>
      <c r="K25" s="35">
        <v>2.7222222222222221E-2</v>
      </c>
      <c r="L25">
        <v>12</v>
      </c>
      <c r="M25" s="27">
        <v>3.425925925925926E-3</v>
      </c>
      <c r="N25" s="35">
        <v>4.1180555555555554E-2</v>
      </c>
      <c r="O25" s="3">
        <v>45961</v>
      </c>
      <c r="P25" t="str">
        <f t="shared" si="0"/>
        <v>October</v>
      </c>
      <c r="Q25" s="3">
        <f t="shared" si="1"/>
        <v>45957</v>
      </c>
      <c r="R25" s="36" t="str" cm="1">
        <f t="array" ref="R25">IFERROR(
  _xlfn.LET(
    _xlpm.cleaned, TRIM(SUBSTITUTE(A25,CHAR(160),"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6" spans="1:18" x14ac:dyDescent="0.25">
      <c r="A26" t="s">
        <v>64</v>
      </c>
      <c r="B26" s="27">
        <v>0.31913194444444443</v>
      </c>
      <c r="C26">
        <v>37</v>
      </c>
      <c r="D26" s="27">
        <v>2.4537037037037036E-3</v>
      </c>
      <c r="E26" s="27">
        <v>9.0613425925925931E-2</v>
      </c>
      <c r="F26">
        <v>0</v>
      </c>
      <c r="G26" s="27">
        <v>0</v>
      </c>
      <c r="H26" s="27">
        <v>0</v>
      </c>
      <c r="I26" s="34">
        <v>55</v>
      </c>
      <c r="J26" s="27">
        <v>3.2407407407407406E-4</v>
      </c>
      <c r="K26" s="35">
        <v>1.7835648148148149E-2</v>
      </c>
      <c r="L26">
        <v>12</v>
      </c>
      <c r="M26" s="27">
        <v>2.3495370370370371E-3</v>
      </c>
      <c r="N26" s="35">
        <v>2.8217592592592593E-2</v>
      </c>
      <c r="O26" s="3">
        <v>45964</v>
      </c>
      <c r="P26" t="str">
        <f t="shared" si="0"/>
        <v>November</v>
      </c>
      <c r="Q26" s="3">
        <f t="shared" si="1"/>
        <v>45964</v>
      </c>
      <c r="R26" s="36" t="str" cm="1">
        <f t="array" ref="R26">IFERROR(
  _xlfn.LET(
    _xlpm.cleaned, TRIM(SUBSTITUTE(A26,CHAR(160),"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7" spans="1:18" x14ac:dyDescent="0.25">
      <c r="A27" t="s">
        <v>64</v>
      </c>
      <c r="B27" s="27">
        <v>0.32046296296296295</v>
      </c>
      <c r="C27">
        <v>36</v>
      </c>
      <c r="D27" s="27">
        <v>2.0370370370370369E-3</v>
      </c>
      <c r="E27" s="27">
        <v>7.3275462962962959E-2</v>
      </c>
      <c r="F27">
        <v>0</v>
      </c>
      <c r="G27" s="27">
        <v>0</v>
      </c>
      <c r="H27" s="27">
        <v>0</v>
      </c>
      <c r="I27" s="34">
        <v>67</v>
      </c>
      <c r="J27" s="27">
        <v>5.2083333333333333E-4</v>
      </c>
      <c r="K27" s="35">
        <v>3.5104166666666665E-2</v>
      </c>
      <c r="L27">
        <v>8</v>
      </c>
      <c r="M27" s="27">
        <v>4.5717592592592589E-3</v>
      </c>
      <c r="N27" s="35">
        <v>3.6574074074074071E-2</v>
      </c>
      <c r="O27" s="3">
        <v>45965</v>
      </c>
      <c r="P27" t="str">
        <f t="shared" si="0"/>
        <v>November</v>
      </c>
      <c r="Q27" s="3">
        <f t="shared" si="1"/>
        <v>45964</v>
      </c>
      <c r="R27" s="36" t="str" cm="1">
        <f t="array" ref="R27">IFERROR(
  _xlfn.LET(
    _xlpm.cleaned, TRIM(SUBSTITUTE(A27,CHAR(160),"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8" spans="1:18" x14ac:dyDescent="0.25">
      <c r="A28" t="s">
        <v>64</v>
      </c>
      <c r="B28" s="27">
        <v>0.30912037037037038</v>
      </c>
      <c r="C28">
        <v>34</v>
      </c>
      <c r="D28" s="27">
        <v>1.8402777777777777E-3</v>
      </c>
      <c r="E28" s="27">
        <v>6.2384259259259257E-2</v>
      </c>
      <c r="F28">
        <v>1</v>
      </c>
      <c r="G28" s="27">
        <v>1.1574074074074073E-3</v>
      </c>
      <c r="H28" s="27">
        <v>1.1574074074074073E-3</v>
      </c>
      <c r="I28" s="34">
        <v>60</v>
      </c>
      <c r="J28" s="27">
        <v>4.1666666666666669E-4</v>
      </c>
      <c r="K28" s="35">
        <v>2.525462962962963E-2</v>
      </c>
      <c r="L28">
        <v>7</v>
      </c>
      <c r="M28" s="27">
        <v>4.1087962962962962E-3</v>
      </c>
      <c r="N28" s="35">
        <v>2.8738425925925924E-2</v>
      </c>
      <c r="O28" s="3">
        <v>45966</v>
      </c>
      <c r="P28" t="str">
        <f t="shared" si="0"/>
        <v>November</v>
      </c>
      <c r="Q28" s="3">
        <f t="shared" si="1"/>
        <v>45964</v>
      </c>
      <c r="R28" s="36" t="str" cm="1">
        <f t="array" ref="R28">IFERROR(
  _xlfn.LET(
    _xlpm.cleaned, TRIM(SUBSTITUTE(A28,CHAR(160),"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9" spans="1:18" x14ac:dyDescent="0.25">
      <c r="A29" t="s">
        <v>64</v>
      </c>
      <c r="B29" s="27">
        <v>0.32407407407407407</v>
      </c>
      <c r="C29">
        <v>41</v>
      </c>
      <c r="D29" s="27">
        <v>2.0254629629629629E-3</v>
      </c>
      <c r="E29" s="27">
        <v>8.3043981481481483E-2</v>
      </c>
      <c r="F29">
        <v>0</v>
      </c>
      <c r="G29" s="27">
        <v>0</v>
      </c>
      <c r="H29" s="27">
        <v>0</v>
      </c>
      <c r="I29" s="34">
        <v>72</v>
      </c>
      <c r="J29" s="27">
        <v>4.2824074074074075E-4</v>
      </c>
      <c r="K29" s="35">
        <v>3.0451388888888889E-2</v>
      </c>
      <c r="L29">
        <v>9</v>
      </c>
      <c r="M29" s="27">
        <v>1.736111111111111E-3</v>
      </c>
      <c r="N29" s="35">
        <v>1.5578703703703704E-2</v>
      </c>
      <c r="O29" s="3">
        <v>45967</v>
      </c>
      <c r="P29" t="str">
        <f t="shared" si="0"/>
        <v>November</v>
      </c>
      <c r="Q29" s="3">
        <f t="shared" si="1"/>
        <v>45964</v>
      </c>
      <c r="R29" s="36" t="str" cm="1">
        <f t="array" ref="R29">IFERROR(
  _xlfn.LET(
    _xlpm.cleaned, TRIM(SUBSTITUTE(A29,CHAR(160),"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30" spans="1:18" x14ac:dyDescent="0.25">
      <c r="A30" t="s">
        <v>65</v>
      </c>
      <c r="B30" s="27">
        <v>0.30902777777777779</v>
      </c>
      <c r="C30">
        <v>38</v>
      </c>
      <c r="D30" s="27">
        <v>2.650462962962963E-3</v>
      </c>
      <c r="E30" s="27">
        <v>0.10063657407407407</v>
      </c>
      <c r="F30">
        <v>1</v>
      </c>
      <c r="G30" s="27">
        <v>3.2407407407407406E-4</v>
      </c>
      <c r="H30" s="27">
        <v>3.2407407407407406E-4</v>
      </c>
      <c r="I30" s="34">
        <v>56</v>
      </c>
      <c r="J30" s="27">
        <v>3.8194444444444446E-4</v>
      </c>
      <c r="K30" s="35">
        <v>2.1168981481481483E-2</v>
      </c>
      <c r="L30">
        <v>11</v>
      </c>
      <c r="M30" s="27">
        <v>3.0208333333333333E-3</v>
      </c>
      <c r="N30" s="35">
        <v>3.3252314814814818E-2</v>
      </c>
      <c r="O30" s="3">
        <v>45931</v>
      </c>
      <c r="P30" t="str">
        <f t="shared" si="0"/>
        <v>October</v>
      </c>
      <c r="Q30" s="3">
        <f t="shared" si="1"/>
        <v>45929</v>
      </c>
      <c r="R30" s="36" t="str" cm="1">
        <f t="array" ref="R30">IFERROR(
  _xlfn.LET(
    _xlpm.cleaned, TRIM(SUBSTITUTE(A30,CHAR(160),"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Leah</v>
      </c>
    </row>
    <row r="31" spans="1:18" x14ac:dyDescent="0.25">
      <c r="A31" t="s">
        <v>65</v>
      </c>
      <c r="B31" s="27">
        <v>0.31340277777777775</v>
      </c>
      <c r="C31">
        <v>33</v>
      </c>
      <c r="D31" s="27">
        <v>2.2685185185185187E-3</v>
      </c>
      <c r="E31" s="27">
        <v>7.4953703703703703E-2</v>
      </c>
      <c r="F31">
        <v>0</v>
      </c>
      <c r="G31" s="27">
        <v>0</v>
      </c>
      <c r="H31" s="27">
        <v>0</v>
      </c>
      <c r="I31" s="34">
        <v>48</v>
      </c>
      <c r="J31" s="27">
        <v>3.2407407407407406E-4</v>
      </c>
      <c r="K31" s="35">
        <v>1.5347222222222222E-2</v>
      </c>
      <c r="L31">
        <v>12</v>
      </c>
      <c r="M31" s="27">
        <v>2.9050925925925928E-3</v>
      </c>
      <c r="N31" s="35">
        <v>3.4884259259259261E-2</v>
      </c>
      <c r="O31" s="3">
        <v>45932</v>
      </c>
      <c r="P31" t="str">
        <f t="shared" si="0"/>
        <v>October</v>
      </c>
      <c r="Q31" s="3">
        <f t="shared" si="1"/>
        <v>45929</v>
      </c>
      <c r="R31" s="36" t="str" cm="1">
        <f t="array" ref="R31">IFERROR(
  _xlfn.LET(
    _xlpm.cleaned, TRIM(SUBSTITUTE(A31,CHAR(160),"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Leah</v>
      </c>
    </row>
    <row r="32" spans="1:18" x14ac:dyDescent="0.25">
      <c r="A32" t="s">
        <v>65</v>
      </c>
      <c r="B32" s="27">
        <v>0.15621527777777777</v>
      </c>
      <c r="C32">
        <v>20</v>
      </c>
      <c r="D32" s="27">
        <v>2.7083333333333334E-3</v>
      </c>
      <c r="E32" s="27">
        <v>5.4224537037037036E-2</v>
      </c>
      <c r="F32">
        <v>0</v>
      </c>
      <c r="G32" s="27">
        <v>0</v>
      </c>
      <c r="H32" s="27">
        <v>0</v>
      </c>
      <c r="I32" s="34">
        <v>21</v>
      </c>
      <c r="J32" s="27">
        <v>2.7777777777777778E-4</v>
      </c>
      <c r="K32" s="35">
        <v>5.9490740740740745E-3</v>
      </c>
      <c r="L32">
        <v>4</v>
      </c>
      <c r="M32" s="27">
        <v>3.6111111111111109E-3</v>
      </c>
      <c r="N32" s="35">
        <v>1.4421296296296297E-2</v>
      </c>
      <c r="O32" s="3">
        <v>45933</v>
      </c>
      <c r="P32" t="str">
        <f t="shared" si="0"/>
        <v>October</v>
      </c>
      <c r="Q32" s="3">
        <f t="shared" si="1"/>
        <v>45929</v>
      </c>
      <c r="R32" s="36" t="str" cm="1">
        <f t="array" ref="R32">IFERROR(
  _xlfn.LET(
    _xlpm.cleaned, TRIM(SUBSTITUTE(A32,CHAR(160),"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Leah</v>
      </c>
    </row>
    <row r="33" spans="1:18" x14ac:dyDescent="0.25">
      <c r="A33" t="s">
        <v>66</v>
      </c>
      <c r="B33" s="27">
        <v>2.3148148148148147E-5</v>
      </c>
      <c r="C33">
        <v>0</v>
      </c>
      <c r="D33" s="27">
        <v>0</v>
      </c>
      <c r="E33" s="27">
        <v>0</v>
      </c>
      <c r="F33">
        <v>0</v>
      </c>
      <c r="G33" s="27">
        <v>0</v>
      </c>
      <c r="H33" s="27">
        <v>0</v>
      </c>
      <c r="I33" s="34">
        <v>1</v>
      </c>
      <c r="J33" s="27">
        <v>2.3148148148148147E-5</v>
      </c>
      <c r="K33" s="35">
        <v>2.3148148148148147E-5</v>
      </c>
      <c r="L33">
        <v>0</v>
      </c>
      <c r="M33" s="27">
        <v>0</v>
      </c>
      <c r="N33" s="35">
        <v>0</v>
      </c>
      <c r="O33" s="3">
        <v>45957</v>
      </c>
      <c r="P33" t="str">
        <f t="shared" si="0"/>
        <v>October</v>
      </c>
      <c r="Q33" s="3">
        <f t="shared" si="1"/>
        <v>45957</v>
      </c>
      <c r="R33" s="36" t="str" cm="1">
        <f t="array" ref="R33">IFERROR(
  _xlfn.LET(
    _xlpm.cleaned, TRIM(SUBSTITUTE(A33,CHAR(160),"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34" spans="1:18" x14ac:dyDescent="0.25">
      <c r="A34" t="s">
        <v>66</v>
      </c>
      <c r="B34" s="27">
        <v>0.31319444444444444</v>
      </c>
      <c r="C34">
        <v>24</v>
      </c>
      <c r="D34" s="27">
        <v>2.3611111111111111E-3</v>
      </c>
      <c r="E34" s="27">
        <v>5.6736111111111112E-2</v>
      </c>
      <c r="F34">
        <v>1</v>
      </c>
      <c r="G34" s="27">
        <v>7.8703703703703705E-4</v>
      </c>
      <c r="H34" s="27">
        <v>7.8703703703703705E-4</v>
      </c>
      <c r="I34" s="34">
        <v>29</v>
      </c>
      <c r="J34" s="27">
        <v>1.6203703703703703E-4</v>
      </c>
      <c r="K34" s="35">
        <v>4.5833333333333334E-3</v>
      </c>
      <c r="L34">
        <v>16</v>
      </c>
      <c r="M34" s="27">
        <v>7.6273148148148151E-3</v>
      </c>
      <c r="N34" s="35">
        <v>0.12196759259259259</v>
      </c>
      <c r="O34" s="3">
        <v>45958</v>
      </c>
      <c r="P34" t="str">
        <f t="shared" si="0"/>
        <v>October</v>
      </c>
      <c r="Q34" s="3">
        <f t="shared" si="1"/>
        <v>45957</v>
      </c>
      <c r="R34" s="36" t="str" cm="1">
        <f t="array" ref="R34">IFERROR(
  _xlfn.LET(
    _xlpm.cleaned, TRIM(SUBSTITUTE(A34,CHAR(160),"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35" spans="1:18" x14ac:dyDescent="0.25">
      <c r="A35" t="s">
        <v>66</v>
      </c>
      <c r="B35" s="27">
        <v>0.35597222222222225</v>
      </c>
      <c r="C35">
        <v>12</v>
      </c>
      <c r="D35" s="27">
        <v>1.9444444444444444E-3</v>
      </c>
      <c r="E35" s="27">
        <v>2.3287037037037037E-2</v>
      </c>
      <c r="F35">
        <v>0</v>
      </c>
      <c r="G35" s="27">
        <v>0</v>
      </c>
      <c r="H35" s="27">
        <v>0</v>
      </c>
      <c r="I35" s="34">
        <v>15</v>
      </c>
      <c r="J35" s="27">
        <v>2.199074074074074E-4</v>
      </c>
      <c r="K35" s="35">
        <v>3.3564814814814816E-3</v>
      </c>
      <c r="L35">
        <v>18</v>
      </c>
      <c r="M35" s="27">
        <v>1.474537037037037E-2</v>
      </c>
      <c r="N35" s="35">
        <v>0.2653240740740741</v>
      </c>
      <c r="O35" s="3">
        <v>45959</v>
      </c>
      <c r="P35" t="str">
        <f t="shared" si="0"/>
        <v>October</v>
      </c>
      <c r="Q35" s="3">
        <f t="shared" si="1"/>
        <v>45957</v>
      </c>
      <c r="R35" s="36" t="str" cm="1">
        <f t="array" ref="R35">IFERROR(
  _xlfn.LET(
    _xlpm.cleaned, TRIM(SUBSTITUTE(A35,CHAR(160),"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36" spans="1:18" x14ac:dyDescent="0.25">
      <c r="A36" t="s">
        <v>66</v>
      </c>
      <c r="B36" s="27">
        <v>0.31167824074074074</v>
      </c>
      <c r="C36">
        <v>20</v>
      </c>
      <c r="D36" s="27">
        <v>1.6203703703703703E-3</v>
      </c>
      <c r="E36" s="27">
        <v>3.2476851851851854E-2</v>
      </c>
      <c r="F36">
        <v>0</v>
      </c>
      <c r="G36" s="27">
        <v>0</v>
      </c>
      <c r="H36" s="27">
        <v>0</v>
      </c>
      <c r="I36" s="34">
        <v>23</v>
      </c>
      <c r="J36" s="27">
        <v>2.0833333333333335E-4</v>
      </c>
      <c r="K36" s="35">
        <v>4.7800925925925927E-3</v>
      </c>
      <c r="L36">
        <v>18</v>
      </c>
      <c r="M36" s="27">
        <v>1.0046296296296296E-2</v>
      </c>
      <c r="N36" s="35">
        <v>0.18074074074074073</v>
      </c>
      <c r="O36" s="3">
        <v>45960</v>
      </c>
      <c r="P36" t="str">
        <f t="shared" si="0"/>
        <v>October</v>
      </c>
      <c r="Q36" s="3">
        <f t="shared" si="1"/>
        <v>45957</v>
      </c>
      <c r="R36" s="36" t="str" cm="1">
        <f t="array" ref="R36">IFERROR(
  _xlfn.LET(
    _xlpm.cleaned, TRIM(SUBSTITUTE(A36,CHAR(160),"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37" spans="1:18" x14ac:dyDescent="0.25">
      <c r="A37" t="s">
        <v>66</v>
      </c>
      <c r="B37" s="27">
        <v>0.35538194444444443</v>
      </c>
      <c r="C37">
        <v>20</v>
      </c>
      <c r="D37" s="27">
        <v>2.0254629629629629E-3</v>
      </c>
      <c r="E37" s="27">
        <v>4.0555555555555553E-2</v>
      </c>
      <c r="F37">
        <v>0</v>
      </c>
      <c r="G37" s="27">
        <v>0</v>
      </c>
      <c r="H37" s="27">
        <v>0</v>
      </c>
      <c r="I37" s="34">
        <v>22</v>
      </c>
      <c r="J37" s="27">
        <v>2.8935185185185184E-4</v>
      </c>
      <c r="K37" s="35">
        <v>6.3310185185185188E-3</v>
      </c>
      <c r="L37">
        <v>18</v>
      </c>
      <c r="M37" s="27">
        <v>1.0972222222222222E-2</v>
      </c>
      <c r="N37" s="35">
        <v>0.19758101851851853</v>
      </c>
      <c r="O37" s="3">
        <v>45961</v>
      </c>
      <c r="P37" t="str">
        <f t="shared" si="0"/>
        <v>October</v>
      </c>
      <c r="Q37" s="3">
        <f t="shared" si="1"/>
        <v>45957</v>
      </c>
      <c r="R37" s="36" t="str" cm="1">
        <f t="array" ref="R37">IFERROR(
  _xlfn.LET(
    _xlpm.cleaned, TRIM(SUBSTITUTE(A37,CHAR(160),"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38" spans="1:18" x14ac:dyDescent="0.25">
      <c r="A38" t="s">
        <v>66</v>
      </c>
      <c r="B38" s="27">
        <v>0.35596064814814815</v>
      </c>
      <c r="C38">
        <v>37</v>
      </c>
      <c r="D38" s="27">
        <v>1.5162037037037036E-3</v>
      </c>
      <c r="E38" s="27">
        <v>5.603009259259259E-2</v>
      </c>
      <c r="F38">
        <v>0</v>
      </c>
      <c r="G38" s="27">
        <v>0</v>
      </c>
      <c r="H38" s="27">
        <v>0</v>
      </c>
      <c r="I38" s="34">
        <v>46</v>
      </c>
      <c r="J38" s="27">
        <v>2.6620370370370372E-4</v>
      </c>
      <c r="K38" s="35">
        <v>1.2303240740740741E-2</v>
      </c>
      <c r="L38">
        <v>21</v>
      </c>
      <c r="M38" s="27">
        <v>6.4236111111111108E-3</v>
      </c>
      <c r="N38" s="35">
        <v>0.13487268518518519</v>
      </c>
      <c r="O38" s="3">
        <v>45964</v>
      </c>
      <c r="P38" t="str">
        <f t="shared" si="0"/>
        <v>November</v>
      </c>
      <c r="Q38" s="3">
        <f t="shared" si="1"/>
        <v>45964</v>
      </c>
      <c r="R38" s="36" t="str" cm="1">
        <f t="array" ref="R38">IFERROR(
  _xlfn.LET(
    _xlpm.cleaned, TRIM(SUBSTITUTE(A38,CHAR(160),"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39" spans="1:18" x14ac:dyDescent="0.25">
      <c r="A39" t="s">
        <v>66</v>
      </c>
      <c r="B39" s="27">
        <v>0.35457175925925927</v>
      </c>
      <c r="C39">
        <v>33</v>
      </c>
      <c r="D39" s="27">
        <v>1.8518518518518519E-3</v>
      </c>
      <c r="E39" s="27">
        <v>6.1064814814814815E-2</v>
      </c>
      <c r="F39">
        <v>1</v>
      </c>
      <c r="G39" s="27">
        <v>1.0069444444444444E-3</v>
      </c>
      <c r="H39" s="27">
        <v>1.0069444444444444E-3</v>
      </c>
      <c r="I39" s="34">
        <v>34</v>
      </c>
      <c r="J39" s="27">
        <v>2.7777777777777778E-4</v>
      </c>
      <c r="K39" s="35">
        <v>9.5370370370370366E-3</v>
      </c>
      <c r="L39">
        <v>18</v>
      </c>
      <c r="M39" s="27">
        <v>8.1597222222222227E-3</v>
      </c>
      <c r="N39" s="35">
        <v>0.14689814814814814</v>
      </c>
      <c r="O39" s="3">
        <v>45965</v>
      </c>
      <c r="P39" t="str">
        <f t="shared" si="0"/>
        <v>November</v>
      </c>
      <c r="Q39" s="3">
        <f t="shared" si="1"/>
        <v>45964</v>
      </c>
      <c r="R39" s="36" t="str" cm="1">
        <f t="array" ref="R39">IFERROR(
  _xlfn.LET(
    _xlpm.cleaned, TRIM(SUBSTITUTE(A39,CHAR(160),"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40" spans="1:18" x14ac:dyDescent="0.25">
      <c r="A40" t="s">
        <v>66</v>
      </c>
      <c r="B40" s="27">
        <v>0.35746527777777776</v>
      </c>
      <c r="C40">
        <v>32</v>
      </c>
      <c r="D40" s="27">
        <v>2.2800925925925927E-3</v>
      </c>
      <c r="E40" s="27">
        <v>7.3055555555555554E-2</v>
      </c>
      <c r="F40">
        <v>0</v>
      </c>
      <c r="G40" s="27">
        <v>0</v>
      </c>
      <c r="H40" s="27">
        <v>0</v>
      </c>
      <c r="I40" s="34">
        <v>31</v>
      </c>
      <c r="J40" s="27">
        <v>1.7361111111111112E-4</v>
      </c>
      <c r="K40" s="35">
        <v>5.2314814814814811E-3</v>
      </c>
      <c r="L40">
        <v>28</v>
      </c>
      <c r="M40" s="27">
        <v>4.8263888888888887E-3</v>
      </c>
      <c r="N40" s="35">
        <v>0.13505787037037037</v>
      </c>
      <c r="O40" s="3">
        <v>45966</v>
      </c>
      <c r="P40" t="str">
        <f t="shared" si="0"/>
        <v>November</v>
      </c>
      <c r="Q40" s="3">
        <f t="shared" si="1"/>
        <v>45964</v>
      </c>
      <c r="R40" s="36" t="str" cm="1">
        <f t="array" ref="R40">IFERROR(
  _xlfn.LET(
    _xlpm.cleaned, TRIM(SUBSTITUTE(A40,CHAR(160),"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41" spans="1:18" x14ac:dyDescent="0.25">
      <c r="A41" t="s">
        <v>66</v>
      </c>
      <c r="B41" s="27">
        <v>0.35502314814814817</v>
      </c>
      <c r="C41">
        <v>39</v>
      </c>
      <c r="D41" s="27">
        <v>1.8865740740740742E-3</v>
      </c>
      <c r="E41" s="27">
        <v>7.3472222222222217E-2</v>
      </c>
      <c r="F41">
        <v>2</v>
      </c>
      <c r="G41" s="27">
        <v>2.3842592592592591E-3</v>
      </c>
      <c r="H41" s="27">
        <v>4.7569444444444447E-3</v>
      </c>
      <c r="I41" s="34">
        <v>44</v>
      </c>
      <c r="J41" s="27">
        <v>2.6620370370370372E-4</v>
      </c>
      <c r="K41" s="35">
        <v>1.150462962962963E-2</v>
      </c>
      <c r="L41">
        <v>33</v>
      </c>
      <c r="M41" s="27">
        <v>3.8657407407407408E-3</v>
      </c>
      <c r="N41" s="35">
        <v>0.12761574074074075</v>
      </c>
      <c r="O41" s="3">
        <v>45967</v>
      </c>
      <c r="P41" t="str">
        <f t="shared" si="0"/>
        <v>November</v>
      </c>
      <c r="Q41" s="3">
        <f t="shared" si="1"/>
        <v>45964</v>
      </c>
      <c r="R41" s="36" t="str" cm="1">
        <f t="array" ref="R41">IFERROR(
  _xlfn.LET(
    _xlpm.cleaned, TRIM(SUBSTITUTE(A41,CHAR(160),"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42" spans="1:18" x14ac:dyDescent="0.25">
      <c r="A42" t="s">
        <v>67</v>
      </c>
      <c r="B42" s="27">
        <v>0.23215277777777779</v>
      </c>
      <c r="C42">
        <v>11</v>
      </c>
      <c r="D42" s="27">
        <v>1.2268518518518518E-3</v>
      </c>
      <c r="E42" s="27">
        <v>1.3553240740740741E-2</v>
      </c>
      <c r="F42">
        <v>1</v>
      </c>
      <c r="G42" s="27">
        <v>1.238425925925926E-3</v>
      </c>
      <c r="H42" s="27">
        <v>1.238425925925926E-3</v>
      </c>
      <c r="I42" s="34">
        <v>47</v>
      </c>
      <c r="J42" s="27">
        <v>1.3078703703703703E-3</v>
      </c>
      <c r="K42" s="35">
        <v>6.1469907407407411E-2</v>
      </c>
      <c r="L42">
        <v>2</v>
      </c>
      <c r="M42" s="27">
        <v>3.4953703703703705E-3</v>
      </c>
      <c r="N42" s="35">
        <v>7.0023148148148145E-3</v>
      </c>
      <c r="O42" s="3">
        <v>45931</v>
      </c>
      <c r="P42" t="str">
        <f t="shared" si="0"/>
        <v>October</v>
      </c>
      <c r="Q42" s="3">
        <f t="shared" si="1"/>
        <v>45929</v>
      </c>
      <c r="R42" s="36" t="str" cm="1">
        <f t="array" ref="R42">IFERROR(
  _xlfn.LET(
    _xlpm.cleaned, TRIM(SUBSTITUTE(A42,CHAR(160),"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43" spans="1:18" x14ac:dyDescent="0.25">
      <c r="A43" t="s">
        <v>67</v>
      </c>
      <c r="B43" s="27">
        <v>0.3424652777777778</v>
      </c>
      <c r="C43">
        <v>19</v>
      </c>
      <c r="D43" s="27">
        <v>1.2152777777777778E-3</v>
      </c>
      <c r="E43" s="27">
        <v>2.3113425925925926E-2</v>
      </c>
      <c r="F43">
        <v>3</v>
      </c>
      <c r="G43" s="27">
        <v>6.9444444444444447E-4</v>
      </c>
      <c r="H43" s="27">
        <v>2.0949074074074073E-3</v>
      </c>
      <c r="I43" s="34">
        <v>49</v>
      </c>
      <c r="J43" s="27">
        <v>8.3333333333333339E-4</v>
      </c>
      <c r="K43" s="35">
        <v>4.1018518518518517E-2</v>
      </c>
      <c r="L43">
        <v>6</v>
      </c>
      <c r="M43" s="27">
        <v>1.4513888888888889E-2</v>
      </c>
      <c r="N43" s="35">
        <v>8.711805555555556E-2</v>
      </c>
      <c r="O43" s="3">
        <v>45932</v>
      </c>
      <c r="P43" t="str">
        <f t="shared" si="0"/>
        <v>October</v>
      </c>
      <c r="Q43" s="3">
        <f t="shared" si="1"/>
        <v>45929</v>
      </c>
      <c r="R43" s="36" t="str" cm="1">
        <f t="array" ref="R43">IFERROR(
  _xlfn.LET(
    _xlpm.cleaned, TRIM(SUBSTITUTE(A43,CHAR(160),"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44" spans="1:18" x14ac:dyDescent="0.25">
      <c r="A44" t="s">
        <v>67</v>
      </c>
      <c r="B44" s="27">
        <v>5.6979166666666664E-2</v>
      </c>
      <c r="C44">
        <v>6</v>
      </c>
      <c r="D44" s="27">
        <v>1.0879629629629629E-3</v>
      </c>
      <c r="E44" s="27">
        <v>6.5277777777777782E-3</v>
      </c>
      <c r="F44">
        <v>0</v>
      </c>
      <c r="G44" s="27">
        <v>0</v>
      </c>
      <c r="H44" s="27">
        <v>0</v>
      </c>
      <c r="I44" s="34">
        <v>12</v>
      </c>
      <c r="J44" s="27">
        <v>9.6064814814814819E-4</v>
      </c>
      <c r="K44" s="35">
        <v>1.1516203703703704E-2</v>
      </c>
      <c r="L44">
        <v>0</v>
      </c>
      <c r="M44" s="27">
        <v>0</v>
      </c>
      <c r="N44" s="35">
        <v>0</v>
      </c>
      <c r="O44" s="3">
        <v>45933</v>
      </c>
      <c r="P44" t="str">
        <f t="shared" si="0"/>
        <v>October</v>
      </c>
      <c r="Q44" s="3">
        <f t="shared" si="1"/>
        <v>45929</v>
      </c>
      <c r="R44" s="36" t="str" cm="1">
        <f t="array" ref="R44">IFERROR(
  _xlfn.LET(
    _xlpm.cleaned, TRIM(SUBSTITUTE(A44,CHAR(160),"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45" spans="1:18" x14ac:dyDescent="0.25">
      <c r="A45" t="s">
        <v>67</v>
      </c>
      <c r="B45" s="27">
        <v>0.32501157407407405</v>
      </c>
      <c r="C45">
        <v>24</v>
      </c>
      <c r="D45" s="27">
        <v>1.4583333333333334E-3</v>
      </c>
      <c r="E45" s="27">
        <v>3.4930555555555555E-2</v>
      </c>
      <c r="F45">
        <v>1</v>
      </c>
      <c r="G45" s="27">
        <v>1.2962962962962963E-3</v>
      </c>
      <c r="H45" s="27">
        <v>1.2962962962962963E-3</v>
      </c>
      <c r="I45" s="34">
        <v>58</v>
      </c>
      <c r="J45" s="27">
        <v>1.7476851851851852E-3</v>
      </c>
      <c r="K45" s="35">
        <v>0.1012962962962963</v>
      </c>
      <c r="L45">
        <v>4</v>
      </c>
      <c r="M45" s="27">
        <v>1.8136574074074076E-2</v>
      </c>
      <c r="N45" s="35">
        <v>7.255787037037037E-2</v>
      </c>
      <c r="O45" s="3">
        <v>45936</v>
      </c>
      <c r="P45" t="str">
        <f t="shared" si="0"/>
        <v>October</v>
      </c>
      <c r="Q45" s="3">
        <f t="shared" si="1"/>
        <v>45936</v>
      </c>
      <c r="R45" s="36" t="str" cm="1">
        <f t="array" ref="R45">IFERROR(
  _xlfn.LET(
    _xlpm.cleaned, TRIM(SUBSTITUTE(A45,CHAR(160),"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46" spans="1:18" x14ac:dyDescent="0.25">
      <c r="A46" t="s">
        <v>67</v>
      </c>
      <c r="B46" s="27">
        <v>0.33373842592592595</v>
      </c>
      <c r="C46">
        <v>31</v>
      </c>
      <c r="D46" s="27">
        <v>1.4814814814814814E-3</v>
      </c>
      <c r="E46" s="27">
        <v>4.5787037037037036E-2</v>
      </c>
      <c r="F46">
        <v>2</v>
      </c>
      <c r="G46" s="27">
        <v>2.1759259259259258E-3</v>
      </c>
      <c r="H46" s="27">
        <v>4.3518518518518515E-3</v>
      </c>
      <c r="I46" s="34">
        <v>74</v>
      </c>
      <c r="J46" s="27">
        <v>1.0995370370370371E-3</v>
      </c>
      <c r="K46" s="35">
        <v>8.1006944444444451E-2</v>
      </c>
      <c r="L46">
        <v>1</v>
      </c>
      <c r="M46" s="27">
        <v>1.1354166666666667E-2</v>
      </c>
      <c r="N46" s="35">
        <v>1.1354166666666667E-2</v>
      </c>
      <c r="O46" s="3">
        <v>45937</v>
      </c>
      <c r="P46" t="str">
        <f t="shared" si="0"/>
        <v>October</v>
      </c>
      <c r="Q46" s="3">
        <f t="shared" si="1"/>
        <v>45936</v>
      </c>
      <c r="R46" s="36" t="str" cm="1">
        <f t="array" ref="R46">IFERROR(
  _xlfn.LET(
    _xlpm.cleaned, TRIM(SUBSTITUTE(A46,CHAR(160),"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47" spans="1:18" x14ac:dyDescent="0.25">
      <c r="A47" t="s">
        <v>67</v>
      </c>
      <c r="B47" s="27">
        <v>0.11057870370370371</v>
      </c>
      <c r="C47">
        <v>9</v>
      </c>
      <c r="D47" s="27">
        <v>2.1990740740740742E-3</v>
      </c>
      <c r="E47" s="27">
        <v>1.982638888888889E-2</v>
      </c>
      <c r="F47">
        <v>0</v>
      </c>
      <c r="G47" s="27">
        <v>0</v>
      </c>
      <c r="H47" s="27">
        <v>0</v>
      </c>
      <c r="I47" s="34">
        <v>16</v>
      </c>
      <c r="J47" s="27">
        <v>5.5555555555555556E-4</v>
      </c>
      <c r="K47" s="35">
        <v>8.8425925925925929E-3</v>
      </c>
      <c r="L47">
        <v>2</v>
      </c>
      <c r="M47" s="27">
        <v>9.0972222222222218E-3</v>
      </c>
      <c r="N47" s="35">
        <v>1.8206018518518517E-2</v>
      </c>
      <c r="O47" s="3">
        <v>45938</v>
      </c>
      <c r="P47" t="str">
        <f t="shared" si="0"/>
        <v>October</v>
      </c>
      <c r="Q47" s="3">
        <f t="shared" si="1"/>
        <v>45936</v>
      </c>
      <c r="R47" s="36" t="str" cm="1">
        <f t="array" ref="R47">IFERROR(
  _xlfn.LET(
    _xlpm.cleaned, TRIM(SUBSTITUTE(A47,CHAR(160),"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48" spans="1:18" x14ac:dyDescent="0.25">
      <c r="A48" t="s">
        <v>67</v>
      </c>
      <c r="B48" s="27">
        <v>0.34863425925925928</v>
      </c>
      <c r="C48">
        <v>24</v>
      </c>
      <c r="D48" s="27">
        <v>1.4699074074074074E-3</v>
      </c>
      <c r="E48" s="27">
        <v>3.5393518518518519E-2</v>
      </c>
      <c r="F48">
        <v>0</v>
      </c>
      <c r="G48" s="27">
        <v>0</v>
      </c>
      <c r="H48" s="27">
        <v>0</v>
      </c>
      <c r="I48" s="34">
        <v>110</v>
      </c>
      <c r="J48" s="27">
        <v>5.7870370370370367E-4</v>
      </c>
      <c r="K48" s="35">
        <v>6.3252314814814817E-2</v>
      </c>
      <c r="L48">
        <v>5</v>
      </c>
      <c r="M48" s="27">
        <v>1.150462962962963E-2</v>
      </c>
      <c r="N48" s="35">
        <v>5.7500000000000002E-2</v>
      </c>
      <c r="O48" s="3">
        <v>45939</v>
      </c>
      <c r="P48" t="str">
        <f t="shared" si="0"/>
        <v>October</v>
      </c>
      <c r="Q48" s="3">
        <f t="shared" si="1"/>
        <v>45936</v>
      </c>
      <c r="R48" s="36" t="str" cm="1">
        <f t="array" ref="R48">IFERROR(
  _xlfn.LET(
    _xlpm.cleaned, TRIM(SUBSTITUTE(A48,CHAR(160),"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49" spans="1:18" x14ac:dyDescent="0.25">
      <c r="A49" t="s">
        <v>67</v>
      </c>
      <c r="B49" s="27">
        <v>0.32508101851851851</v>
      </c>
      <c r="C49">
        <v>23</v>
      </c>
      <c r="D49" s="27">
        <v>1.5162037037037036E-3</v>
      </c>
      <c r="E49" s="27">
        <v>3.4837962962962966E-2</v>
      </c>
      <c r="F49">
        <v>0</v>
      </c>
      <c r="G49" s="27">
        <v>0</v>
      </c>
      <c r="H49" s="27">
        <v>0</v>
      </c>
      <c r="I49" s="34">
        <v>53</v>
      </c>
      <c r="J49" s="27">
        <v>6.8287037037037036E-4</v>
      </c>
      <c r="K49" s="35">
        <v>3.6145833333333335E-2</v>
      </c>
      <c r="L49">
        <v>3</v>
      </c>
      <c r="M49" s="27">
        <v>1.5289351851851853E-2</v>
      </c>
      <c r="N49" s="35">
        <v>4.5856481481481484E-2</v>
      </c>
      <c r="O49" s="3">
        <v>45940</v>
      </c>
      <c r="P49" t="str">
        <f t="shared" si="0"/>
        <v>October</v>
      </c>
      <c r="Q49" s="3">
        <f t="shared" si="1"/>
        <v>45936</v>
      </c>
      <c r="R49" s="36" t="str" cm="1">
        <f t="array" ref="R49">IFERROR(
  _xlfn.LET(
    _xlpm.cleaned, TRIM(SUBSTITUTE(A49,CHAR(160),"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0" spans="1:18" x14ac:dyDescent="0.25">
      <c r="A50" t="s">
        <v>67</v>
      </c>
      <c r="B50" s="27">
        <v>0.34364583333333332</v>
      </c>
      <c r="C50">
        <v>30</v>
      </c>
      <c r="D50" s="27">
        <v>1.4004629629629629E-3</v>
      </c>
      <c r="E50" s="27">
        <v>4.2083333333333334E-2</v>
      </c>
      <c r="F50">
        <v>1</v>
      </c>
      <c r="G50" s="27">
        <v>1.3310185185185185E-3</v>
      </c>
      <c r="H50" s="27">
        <v>1.3310185185185185E-3</v>
      </c>
      <c r="I50" s="34">
        <v>96</v>
      </c>
      <c r="J50" s="27">
        <v>8.3333333333333339E-4</v>
      </c>
      <c r="K50" s="35">
        <v>8.0115740740740737E-2</v>
      </c>
      <c r="L50">
        <v>4</v>
      </c>
      <c r="M50" s="27">
        <v>7.5231481481481477E-3</v>
      </c>
      <c r="N50" s="35">
        <v>3.0104166666666668E-2</v>
      </c>
      <c r="O50" s="3">
        <v>45943</v>
      </c>
      <c r="P50" t="str">
        <f t="shared" si="0"/>
        <v>October</v>
      </c>
      <c r="Q50" s="3">
        <f t="shared" si="1"/>
        <v>45943</v>
      </c>
      <c r="R50" s="36" t="str" cm="1">
        <f t="array" ref="R50">IFERROR(
  _xlfn.LET(
    _xlpm.cleaned, TRIM(SUBSTITUTE(A50,CHAR(160),"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1" spans="1:18" x14ac:dyDescent="0.25">
      <c r="A51" t="s">
        <v>67</v>
      </c>
      <c r="B51" s="27">
        <v>0.29188657407407409</v>
      </c>
      <c r="C51">
        <v>22</v>
      </c>
      <c r="D51" s="27">
        <v>1.4351851851851852E-3</v>
      </c>
      <c r="E51" s="27">
        <v>3.1585648148148147E-2</v>
      </c>
      <c r="F51">
        <v>0</v>
      </c>
      <c r="G51" s="27">
        <v>0</v>
      </c>
      <c r="H51" s="27">
        <v>0</v>
      </c>
      <c r="I51" s="34">
        <v>38</v>
      </c>
      <c r="J51" s="27">
        <v>1.7013888888888888E-3</v>
      </c>
      <c r="K51" s="35">
        <v>6.4768518518518517E-2</v>
      </c>
      <c r="L51">
        <v>5</v>
      </c>
      <c r="M51" s="27">
        <v>7.8125E-3</v>
      </c>
      <c r="N51" s="35">
        <v>3.9050925925925926E-2</v>
      </c>
      <c r="O51" s="3">
        <v>45944</v>
      </c>
      <c r="P51" t="str">
        <f t="shared" si="0"/>
        <v>October</v>
      </c>
      <c r="Q51" s="3">
        <f t="shared" si="1"/>
        <v>45943</v>
      </c>
      <c r="R51" s="36" t="str" cm="1">
        <f t="array" ref="R51">IFERROR(
  _xlfn.LET(
    _xlpm.cleaned, TRIM(SUBSTITUTE(A51,CHAR(160),"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2" spans="1:18" x14ac:dyDescent="0.25">
      <c r="A52" t="s">
        <v>67</v>
      </c>
      <c r="B52" s="27">
        <v>0.13577546296296297</v>
      </c>
      <c r="C52">
        <v>9</v>
      </c>
      <c r="D52" s="27">
        <v>1.3657407407407407E-3</v>
      </c>
      <c r="E52" s="27">
        <v>1.2280092592592592E-2</v>
      </c>
      <c r="F52">
        <v>0</v>
      </c>
      <c r="G52" s="27">
        <v>0</v>
      </c>
      <c r="H52" s="27">
        <v>0</v>
      </c>
      <c r="I52" s="34">
        <v>28</v>
      </c>
      <c r="J52" s="27">
        <v>1.9675925925925926E-4</v>
      </c>
      <c r="K52" s="35">
        <v>5.37037037037037E-3</v>
      </c>
      <c r="L52">
        <v>4</v>
      </c>
      <c r="M52" s="27">
        <v>2.8703703703703703E-3</v>
      </c>
      <c r="N52" s="35">
        <v>1.1458333333333333E-2</v>
      </c>
      <c r="O52" s="3">
        <v>45945</v>
      </c>
      <c r="P52" t="str">
        <f t="shared" si="0"/>
        <v>October</v>
      </c>
      <c r="Q52" s="3">
        <f t="shared" si="1"/>
        <v>45943</v>
      </c>
      <c r="R52" s="36" t="str" cm="1">
        <f t="array" ref="R52">IFERROR(
  _xlfn.LET(
    _xlpm.cleaned, TRIM(SUBSTITUTE(A52,CHAR(160),"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3" spans="1:18" x14ac:dyDescent="0.25">
      <c r="A53" t="s">
        <v>67</v>
      </c>
      <c r="B53" s="27">
        <v>0.34795138888888888</v>
      </c>
      <c r="C53">
        <v>38</v>
      </c>
      <c r="D53" s="27">
        <v>1.4467592592592592E-3</v>
      </c>
      <c r="E53" s="27">
        <v>5.4930555555555559E-2</v>
      </c>
      <c r="F53">
        <v>0</v>
      </c>
      <c r="G53" s="27">
        <v>0</v>
      </c>
      <c r="H53" s="27">
        <v>0</v>
      </c>
      <c r="I53" s="34">
        <v>92</v>
      </c>
      <c r="J53" s="27">
        <v>9.1435185185185185E-4</v>
      </c>
      <c r="K53" s="35">
        <v>8.4212962962962962E-2</v>
      </c>
      <c r="L53">
        <v>6</v>
      </c>
      <c r="M53" s="27">
        <v>4.340277777777778E-3</v>
      </c>
      <c r="N53" s="35">
        <v>2.6064814814814815E-2</v>
      </c>
      <c r="O53" s="3">
        <v>45946</v>
      </c>
      <c r="P53" t="str">
        <f t="shared" si="0"/>
        <v>October</v>
      </c>
      <c r="Q53" s="3">
        <f t="shared" si="1"/>
        <v>45943</v>
      </c>
      <c r="R53" s="36" t="str" cm="1">
        <f t="array" ref="R53">IFERROR(
  _xlfn.LET(
    _xlpm.cleaned, TRIM(SUBSTITUTE(A53,CHAR(160),"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4" spans="1:18" x14ac:dyDescent="0.25">
      <c r="A54" t="s">
        <v>67</v>
      </c>
      <c r="B54" s="27">
        <v>0.34278935185185183</v>
      </c>
      <c r="C54">
        <v>27</v>
      </c>
      <c r="D54" s="27">
        <v>1.7476851851851852E-3</v>
      </c>
      <c r="E54" s="27">
        <v>4.7291666666666669E-2</v>
      </c>
      <c r="F54">
        <v>0</v>
      </c>
      <c r="G54" s="27">
        <v>0</v>
      </c>
      <c r="H54" s="27">
        <v>0</v>
      </c>
      <c r="I54" s="34">
        <v>42</v>
      </c>
      <c r="J54" s="27">
        <v>9.7222222222222219E-4</v>
      </c>
      <c r="K54" s="35">
        <v>4.0787037037037038E-2</v>
      </c>
      <c r="L54">
        <v>4</v>
      </c>
      <c r="M54" s="27">
        <v>9.1550925925925931E-3</v>
      </c>
      <c r="N54" s="35">
        <v>3.6631944444444446E-2</v>
      </c>
      <c r="O54" s="3">
        <v>45947</v>
      </c>
      <c r="P54" t="str">
        <f t="shared" si="0"/>
        <v>October</v>
      </c>
      <c r="Q54" s="3">
        <f t="shared" si="1"/>
        <v>45943</v>
      </c>
      <c r="R54" s="36" t="str" cm="1">
        <f t="array" ref="R54">IFERROR(
  _xlfn.LET(
    _xlpm.cleaned, TRIM(SUBSTITUTE(A54,CHAR(160),"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5" spans="1:18" x14ac:dyDescent="0.25">
      <c r="A55" t="s">
        <v>67</v>
      </c>
      <c r="B55" s="27">
        <v>0.33208333333333334</v>
      </c>
      <c r="C55">
        <v>28</v>
      </c>
      <c r="D55" s="27">
        <v>2.5000000000000001E-3</v>
      </c>
      <c r="E55" s="27">
        <v>7.0104166666666662E-2</v>
      </c>
      <c r="F55">
        <v>0</v>
      </c>
      <c r="G55" s="27">
        <v>0</v>
      </c>
      <c r="H55" s="27">
        <v>0</v>
      </c>
      <c r="I55" s="34">
        <v>59</v>
      </c>
      <c r="J55" s="27">
        <v>1.1111111111111111E-3</v>
      </c>
      <c r="K55" s="35">
        <v>6.5277777777777782E-2</v>
      </c>
      <c r="L55">
        <v>4</v>
      </c>
      <c r="M55" s="27">
        <v>2.9224537037037038E-2</v>
      </c>
      <c r="N55" s="35">
        <v>0.11690972222222222</v>
      </c>
      <c r="O55" s="3">
        <v>45950</v>
      </c>
      <c r="P55" t="str">
        <f t="shared" si="0"/>
        <v>October</v>
      </c>
      <c r="Q55" s="3">
        <f t="shared" si="1"/>
        <v>45950</v>
      </c>
      <c r="R55" s="36" t="str" cm="1">
        <f t="array" ref="R55">IFERROR(
  _xlfn.LET(
    _xlpm.cleaned, TRIM(SUBSTITUTE(A55,CHAR(160),"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6" spans="1:18" x14ac:dyDescent="0.25">
      <c r="A56" t="s">
        <v>67</v>
      </c>
      <c r="B56" s="27">
        <v>0.34598379629629628</v>
      </c>
      <c r="C56">
        <v>40</v>
      </c>
      <c r="D56" s="27">
        <v>1.712962962962963E-3</v>
      </c>
      <c r="E56" s="27">
        <v>6.834490740740741E-2</v>
      </c>
      <c r="F56">
        <v>0</v>
      </c>
      <c r="G56" s="27">
        <v>0</v>
      </c>
      <c r="H56" s="27">
        <v>0</v>
      </c>
      <c r="I56" s="34">
        <v>51</v>
      </c>
      <c r="J56" s="27">
        <v>2.5462962962962961E-4</v>
      </c>
      <c r="K56" s="35">
        <v>1.2847222222222222E-2</v>
      </c>
      <c r="L56">
        <v>16</v>
      </c>
      <c r="M56" s="27">
        <v>5.5902777777777773E-3</v>
      </c>
      <c r="N56" s="35">
        <v>8.9432870370370371E-2</v>
      </c>
      <c r="O56" s="3">
        <v>45951</v>
      </c>
      <c r="P56" t="str">
        <f t="shared" si="0"/>
        <v>October</v>
      </c>
      <c r="Q56" s="3">
        <f t="shared" si="1"/>
        <v>45950</v>
      </c>
      <c r="R56" s="36" t="str" cm="1">
        <f t="array" ref="R56">IFERROR(
  _xlfn.LET(
    _xlpm.cleaned, TRIM(SUBSTITUTE(A56,CHAR(160),"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7" spans="1:18" x14ac:dyDescent="0.25">
      <c r="A57" t="s">
        <v>67</v>
      </c>
      <c r="B57" s="27">
        <v>0.35274305555555557</v>
      </c>
      <c r="C57">
        <v>46</v>
      </c>
      <c r="D57" s="27">
        <v>1.7013888888888888E-3</v>
      </c>
      <c r="E57" s="27">
        <v>7.8287037037037044E-2</v>
      </c>
      <c r="F57">
        <v>1</v>
      </c>
      <c r="G57" s="27">
        <v>1.6550925925925926E-3</v>
      </c>
      <c r="H57" s="27">
        <v>1.6550925925925926E-3</v>
      </c>
      <c r="I57" s="34">
        <v>56</v>
      </c>
      <c r="J57" s="27">
        <v>2.8935185185185184E-4</v>
      </c>
      <c r="K57" s="35">
        <v>1.5995370370370372E-2</v>
      </c>
      <c r="L57">
        <v>34</v>
      </c>
      <c r="M57" s="27">
        <v>2.5000000000000001E-3</v>
      </c>
      <c r="N57" s="35">
        <v>8.5069444444444448E-2</v>
      </c>
      <c r="O57" s="3">
        <v>45952</v>
      </c>
      <c r="P57" t="str">
        <f t="shared" si="0"/>
        <v>October</v>
      </c>
      <c r="Q57" s="3">
        <f t="shared" si="1"/>
        <v>45950</v>
      </c>
      <c r="R57" s="36" t="str" cm="1">
        <f t="array" ref="R57">IFERROR(
  _xlfn.LET(
    _xlpm.cleaned, TRIM(SUBSTITUTE(A57,CHAR(160),"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8" spans="1:18" x14ac:dyDescent="0.25">
      <c r="A58" t="s">
        <v>67</v>
      </c>
      <c r="B58" s="27">
        <v>0.14872685185185186</v>
      </c>
      <c r="C58">
        <v>9</v>
      </c>
      <c r="D58" s="27">
        <v>8.6805555555555551E-4</v>
      </c>
      <c r="E58" s="27">
        <v>7.858796296296296E-3</v>
      </c>
      <c r="F58">
        <v>0</v>
      </c>
      <c r="G58" s="27">
        <v>0</v>
      </c>
      <c r="H58" s="27">
        <v>0</v>
      </c>
      <c r="I58" s="34">
        <v>9</v>
      </c>
      <c r="J58" s="27">
        <v>7.0254629629629634E-3</v>
      </c>
      <c r="K58" s="35">
        <v>6.3206018518518522E-2</v>
      </c>
      <c r="L58">
        <v>1</v>
      </c>
      <c r="M58" s="27">
        <v>4.4479166666666667E-2</v>
      </c>
      <c r="N58" s="35">
        <v>4.4479166666666667E-2</v>
      </c>
      <c r="O58" s="3">
        <v>45953</v>
      </c>
      <c r="P58" t="str">
        <f t="shared" si="0"/>
        <v>October</v>
      </c>
      <c r="Q58" s="3">
        <f t="shared" si="1"/>
        <v>45950</v>
      </c>
      <c r="R58" s="36" t="str" cm="1">
        <f t="array" ref="R58">IFERROR(
  _xlfn.LET(
    _xlpm.cleaned, TRIM(SUBSTITUTE(A58,CHAR(160),"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59" spans="1:18" x14ac:dyDescent="0.25">
      <c r="A59" t="s">
        <v>67</v>
      </c>
      <c r="B59" s="27">
        <v>3.7615740740740741E-2</v>
      </c>
      <c r="C59">
        <v>3</v>
      </c>
      <c r="D59" s="27">
        <v>2.3379629629629631E-3</v>
      </c>
      <c r="E59" s="27">
        <v>7.0023148148148145E-3</v>
      </c>
      <c r="F59">
        <v>0</v>
      </c>
      <c r="G59" s="27">
        <v>0</v>
      </c>
      <c r="H59" s="27">
        <v>0</v>
      </c>
      <c r="I59" s="34">
        <v>4</v>
      </c>
      <c r="J59" s="27">
        <v>5.2083333333333333E-4</v>
      </c>
      <c r="K59" s="35">
        <v>2.0949074074074073E-3</v>
      </c>
      <c r="L59">
        <v>0</v>
      </c>
      <c r="M59" s="27">
        <v>0</v>
      </c>
      <c r="N59" s="35">
        <v>0</v>
      </c>
      <c r="O59" s="3">
        <v>45954</v>
      </c>
      <c r="P59" t="str">
        <f t="shared" si="0"/>
        <v>October</v>
      </c>
      <c r="Q59" s="3">
        <f t="shared" si="1"/>
        <v>45950</v>
      </c>
      <c r="R59" s="36" t="str" cm="1">
        <f t="array" ref="R59">IFERROR(
  _xlfn.LET(
    _xlpm.cleaned, TRIM(SUBSTITUTE(A59,CHAR(160),"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0" spans="1:18" x14ac:dyDescent="0.25">
      <c r="A60" t="s">
        <v>67</v>
      </c>
      <c r="B60" s="27">
        <v>0.12825231481481481</v>
      </c>
      <c r="C60">
        <v>5</v>
      </c>
      <c r="D60" s="27">
        <v>1.1226851851851851E-3</v>
      </c>
      <c r="E60" s="27">
        <v>5.6018518518518518E-3</v>
      </c>
      <c r="F60">
        <v>1</v>
      </c>
      <c r="G60" s="27">
        <v>1.1921296296296296E-3</v>
      </c>
      <c r="H60" s="27">
        <v>1.1921296296296296E-3</v>
      </c>
      <c r="I60" s="34">
        <v>23</v>
      </c>
      <c r="J60" s="27">
        <v>4.3981481481481481E-4</v>
      </c>
      <c r="K60" s="35">
        <v>1.005787037037037E-2</v>
      </c>
      <c r="L60">
        <v>0</v>
      </c>
      <c r="M60" s="27">
        <v>0</v>
      </c>
      <c r="N60" s="35">
        <v>0</v>
      </c>
      <c r="O60" s="3">
        <v>45957</v>
      </c>
      <c r="P60" t="str">
        <f t="shared" si="0"/>
        <v>October</v>
      </c>
      <c r="Q60" s="3">
        <f t="shared" si="1"/>
        <v>45957</v>
      </c>
      <c r="R60" s="36" t="str" cm="1">
        <f t="array" ref="R60">IFERROR(
  _xlfn.LET(
    _xlpm.cleaned, TRIM(SUBSTITUTE(A60,CHAR(160),"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1" spans="1:18" x14ac:dyDescent="0.25">
      <c r="A61" t="s">
        <v>67</v>
      </c>
      <c r="B61" s="27">
        <v>4.0497685185185185E-2</v>
      </c>
      <c r="C61">
        <v>2</v>
      </c>
      <c r="D61" s="27">
        <v>9.9537037037037042E-4</v>
      </c>
      <c r="E61" s="27">
        <v>1.9907407407407408E-3</v>
      </c>
      <c r="F61">
        <v>0</v>
      </c>
      <c r="G61" s="27">
        <v>0</v>
      </c>
      <c r="H61" s="27">
        <v>0</v>
      </c>
      <c r="I61" s="34">
        <v>11</v>
      </c>
      <c r="J61" s="27">
        <v>2.5462962962962961E-4</v>
      </c>
      <c r="K61" s="35">
        <v>2.8587962962962963E-3</v>
      </c>
      <c r="L61">
        <v>1</v>
      </c>
      <c r="M61" s="27">
        <v>1.3194444444444444E-2</v>
      </c>
      <c r="N61" s="35">
        <v>1.3194444444444444E-2</v>
      </c>
      <c r="O61" s="3">
        <v>45958</v>
      </c>
      <c r="P61" t="str">
        <f t="shared" si="0"/>
        <v>October</v>
      </c>
      <c r="Q61" s="3">
        <f t="shared" si="1"/>
        <v>45957</v>
      </c>
      <c r="R61" s="36" t="str" cm="1">
        <f t="array" ref="R61">IFERROR(
  _xlfn.LET(
    _xlpm.cleaned, TRIM(SUBSTITUTE(A61,CHAR(160),"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2" spans="1:18" x14ac:dyDescent="0.25">
      <c r="A62" t="s">
        <v>67</v>
      </c>
      <c r="B62" s="27">
        <v>9.4571759259259258E-2</v>
      </c>
      <c r="C62">
        <v>5</v>
      </c>
      <c r="D62" s="27">
        <v>1.0532407407407407E-3</v>
      </c>
      <c r="E62" s="27">
        <v>5.2430555555555555E-3</v>
      </c>
      <c r="F62">
        <v>0</v>
      </c>
      <c r="G62" s="27">
        <v>0</v>
      </c>
      <c r="H62" s="27">
        <v>0</v>
      </c>
      <c r="I62" s="34">
        <v>6</v>
      </c>
      <c r="J62" s="27">
        <v>4.9768518518518521E-4</v>
      </c>
      <c r="K62" s="35">
        <v>3.0092592592592593E-3</v>
      </c>
      <c r="L62">
        <v>2</v>
      </c>
      <c r="M62" s="27">
        <v>1.0763888888888889E-3</v>
      </c>
      <c r="N62" s="35">
        <v>2.1527777777777778E-3</v>
      </c>
      <c r="O62" s="3">
        <v>45960</v>
      </c>
      <c r="P62" t="str">
        <f t="shared" si="0"/>
        <v>October</v>
      </c>
      <c r="Q62" s="3">
        <f t="shared" si="1"/>
        <v>45957</v>
      </c>
      <c r="R62" s="36" t="str" cm="1">
        <f t="array" ref="R62">IFERROR(
  _xlfn.LET(
    _xlpm.cleaned, TRIM(SUBSTITUTE(A62,CHAR(160),"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3" spans="1:18" x14ac:dyDescent="0.25">
      <c r="A63" t="s">
        <v>67</v>
      </c>
      <c r="B63" s="27">
        <v>0.22821759259259258</v>
      </c>
      <c r="C63">
        <v>6</v>
      </c>
      <c r="D63" s="27">
        <v>2.1759259259259258E-3</v>
      </c>
      <c r="E63" s="27">
        <v>1.3090277777777777E-2</v>
      </c>
      <c r="F63">
        <v>1</v>
      </c>
      <c r="G63" s="27">
        <v>2.7777777777777779E-3</v>
      </c>
      <c r="H63" s="27">
        <v>2.7777777777777779E-3</v>
      </c>
      <c r="I63" s="34">
        <v>34</v>
      </c>
      <c r="J63" s="27">
        <v>3.5069444444444445E-3</v>
      </c>
      <c r="K63" s="35">
        <v>0.11936342592592593</v>
      </c>
      <c r="L63">
        <v>1</v>
      </c>
      <c r="M63" s="27">
        <v>1.4004629629629629E-3</v>
      </c>
      <c r="N63" s="35">
        <v>1.4004629629629629E-3</v>
      </c>
      <c r="O63" s="3">
        <v>45961</v>
      </c>
      <c r="P63" t="str">
        <f t="shared" si="0"/>
        <v>October</v>
      </c>
      <c r="Q63" s="3">
        <f t="shared" si="1"/>
        <v>45957</v>
      </c>
      <c r="R63" s="36" t="str" cm="1">
        <f t="array" ref="R63">IFERROR(
  _xlfn.LET(
    _xlpm.cleaned, TRIM(SUBSTITUTE(A63,CHAR(160),"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4" spans="1:18" x14ac:dyDescent="0.25">
      <c r="A64" t="s">
        <v>67</v>
      </c>
      <c r="B64" s="27">
        <v>6.7245370370370367E-3</v>
      </c>
      <c r="C64">
        <v>6</v>
      </c>
      <c r="D64" s="27">
        <v>8.4490740740740739E-4</v>
      </c>
      <c r="E64" s="27">
        <v>5.0694444444444441E-3</v>
      </c>
      <c r="F64">
        <v>0</v>
      </c>
      <c r="G64" s="27">
        <v>0</v>
      </c>
      <c r="H64" s="27">
        <v>0</v>
      </c>
      <c r="I64" s="34">
        <v>5</v>
      </c>
      <c r="J64" s="27">
        <v>1.3888888888888889E-4</v>
      </c>
      <c r="K64" s="35">
        <v>7.0601851851851847E-4</v>
      </c>
      <c r="L64">
        <v>0</v>
      </c>
      <c r="M64" s="27">
        <v>0</v>
      </c>
      <c r="N64" s="35">
        <v>0</v>
      </c>
      <c r="O64" s="3">
        <v>45964</v>
      </c>
      <c r="P64" t="str">
        <f t="shared" si="0"/>
        <v>November</v>
      </c>
      <c r="Q64" s="3">
        <f t="shared" si="1"/>
        <v>45964</v>
      </c>
      <c r="R64" s="36" t="str" cm="1">
        <f t="array" ref="R64">IFERROR(
  _xlfn.LET(
    _xlpm.cleaned, TRIM(SUBSTITUTE(A64,CHAR(160),"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5" spans="1:18" x14ac:dyDescent="0.25">
      <c r="A65" t="s">
        <v>67</v>
      </c>
      <c r="B65" s="27">
        <v>0.17701388888888889</v>
      </c>
      <c r="C65">
        <v>8</v>
      </c>
      <c r="D65" s="27">
        <v>1.25E-3</v>
      </c>
      <c r="E65" s="27">
        <v>9.9884259259259266E-3</v>
      </c>
      <c r="F65">
        <v>0</v>
      </c>
      <c r="G65" s="27">
        <v>0</v>
      </c>
      <c r="H65" s="27">
        <v>0</v>
      </c>
      <c r="I65" s="34">
        <v>11</v>
      </c>
      <c r="J65" s="27">
        <v>2.5115740740740741E-3</v>
      </c>
      <c r="K65" s="35">
        <v>2.7650462962962963E-2</v>
      </c>
      <c r="L65">
        <v>2</v>
      </c>
      <c r="M65" s="27">
        <v>6.0462962962962961E-2</v>
      </c>
      <c r="N65" s="35">
        <v>0.12092592592592592</v>
      </c>
      <c r="O65" s="3">
        <v>45965</v>
      </c>
      <c r="P65" t="str">
        <f t="shared" si="0"/>
        <v>November</v>
      </c>
      <c r="Q65" s="3">
        <f t="shared" si="1"/>
        <v>45964</v>
      </c>
      <c r="R65" s="36" t="str" cm="1">
        <f t="array" ref="R65">IFERROR(
  _xlfn.LET(
    _xlpm.cleaned, TRIM(SUBSTITUTE(A65,CHAR(160),"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6" spans="1:18" x14ac:dyDescent="0.25">
      <c r="A66" t="s">
        <v>67</v>
      </c>
      <c r="B66" s="27">
        <v>2.3263888888888887E-3</v>
      </c>
      <c r="C66">
        <v>1</v>
      </c>
      <c r="D66" s="27">
        <v>1.7708333333333332E-3</v>
      </c>
      <c r="E66" s="27">
        <v>1.7708333333333332E-3</v>
      </c>
      <c r="F66">
        <v>0</v>
      </c>
      <c r="G66" s="27">
        <v>0</v>
      </c>
      <c r="H66" s="27">
        <v>0</v>
      </c>
      <c r="I66" s="34">
        <v>2</v>
      </c>
      <c r="J66" s="27">
        <v>0</v>
      </c>
      <c r="K66" s="35">
        <v>0</v>
      </c>
      <c r="L66">
        <v>0</v>
      </c>
      <c r="M66" s="27">
        <v>0</v>
      </c>
      <c r="N66" s="35">
        <v>0</v>
      </c>
      <c r="O66" s="3">
        <v>45966</v>
      </c>
      <c r="P66" t="str">
        <f t="shared" si="0"/>
        <v>November</v>
      </c>
      <c r="Q66" s="3">
        <f t="shared" si="1"/>
        <v>45964</v>
      </c>
      <c r="R66" s="36" t="str" cm="1">
        <f t="array" ref="R66">IFERROR(
  _xlfn.LET(
    _xlpm.cleaned, TRIM(SUBSTITUTE(A66,CHAR(160),"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67" spans="1:18" x14ac:dyDescent="0.25">
      <c r="A67" t="s">
        <v>68</v>
      </c>
      <c r="B67" s="27">
        <v>0.30327546296296298</v>
      </c>
      <c r="C67">
        <v>18</v>
      </c>
      <c r="D67" s="27">
        <v>2.1296296296296298E-3</v>
      </c>
      <c r="E67" s="27">
        <v>3.829861111111111E-2</v>
      </c>
      <c r="F67">
        <v>1</v>
      </c>
      <c r="G67" s="27">
        <v>1.5856481481481481E-3</v>
      </c>
      <c r="H67" s="27">
        <v>1.5856481481481481E-3</v>
      </c>
      <c r="I67" s="34">
        <v>64</v>
      </c>
      <c r="J67" s="27">
        <v>5.4398148148148144E-4</v>
      </c>
      <c r="K67" s="35">
        <v>3.4733796296296297E-2</v>
      </c>
      <c r="L67">
        <v>0</v>
      </c>
      <c r="M67" s="27">
        <v>0</v>
      </c>
      <c r="N67" s="35">
        <v>0</v>
      </c>
      <c r="O67" s="3">
        <v>45931</v>
      </c>
      <c r="P67" t="str">
        <f t="shared" si="0"/>
        <v>October</v>
      </c>
      <c r="Q67" s="3">
        <f t="shared" si="1"/>
        <v>45929</v>
      </c>
      <c r="R67" s="36" t="str" cm="1">
        <f t="array" ref="R67">IFERROR(
  _xlfn.LET(
    _xlpm.cleaned, TRIM(SUBSTITUTE(A67,CHAR(160),"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68" spans="1:18" x14ac:dyDescent="0.25">
      <c r="A68" t="s">
        <v>68</v>
      </c>
      <c r="B68" s="27">
        <v>8.5613425925925926E-2</v>
      </c>
      <c r="C68">
        <v>6</v>
      </c>
      <c r="D68" s="27">
        <v>1.4814814814814814E-3</v>
      </c>
      <c r="E68" s="27">
        <v>8.8541666666666664E-3</v>
      </c>
      <c r="F68">
        <v>0</v>
      </c>
      <c r="G68" s="27">
        <v>0</v>
      </c>
      <c r="H68" s="27">
        <v>0</v>
      </c>
      <c r="I68" s="34">
        <v>15</v>
      </c>
      <c r="J68" s="27">
        <v>9.0277777777777774E-4</v>
      </c>
      <c r="K68" s="35">
        <v>1.3460648148148149E-2</v>
      </c>
      <c r="L68">
        <v>0</v>
      </c>
      <c r="M68" s="27">
        <v>0</v>
      </c>
      <c r="N68" s="35">
        <v>0</v>
      </c>
      <c r="O68" s="3">
        <v>45933</v>
      </c>
      <c r="P68" t="str">
        <f t="shared" ref="P68:P131" si="2">TEXT(O68,"mmmm")</f>
        <v>October</v>
      </c>
      <c r="Q68" s="3">
        <f t="shared" ref="Q68:Q131" si="3">O68-WEEKDAY(O68,1)+2</f>
        <v>45929</v>
      </c>
      <c r="R68" s="36" t="str" cm="1">
        <f t="array" ref="R68">IFERROR(
  _xlfn.LET(
    _xlpm.cleaned, TRIM(SUBSTITUTE(A68,CHAR(160),"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69" spans="1:18" x14ac:dyDescent="0.25">
      <c r="A69" t="s">
        <v>68</v>
      </c>
      <c r="B69" s="27">
        <v>1.4733796296296297E-2</v>
      </c>
      <c r="C69">
        <v>0</v>
      </c>
      <c r="D69" s="27">
        <v>0</v>
      </c>
      <c r="E69" s="27">
        <v>0</v>
      </c>
      <c r="F69">
        <v>0</v>
      </c>
      <c r="G69" s="27">
        <v>0</v>
      </c>
      <c r="H69" s="27">
        <v>0</v>
      </c>
      <c r="I69" s="34">
        <v>1</v>
      </c>
      <c r="J69" s="27">
        <v>3.5879629629629629E-4</v>
      </c>
      <c r="K69" s="35">
        <v>3.5879629629629629E-4</v>
      </c>
      <c r="L69">
        <v>0</v>
      </c>
      <c r="M69" s="27">
        <v>0</v>
      </c>
      <c r="N69" s="35">
        <v>0</v>
      </c>
      <c r="O69" s="3">
        <v>45954</v>
      </c>
      <c r="P69" t="str">
        <f t="shared" si="2"/>
        <v>October</v>
      </c>
      <c r="Q69" s="3">
        <f t="shared" si="3"/>
        <v>45950</v>
      </c>
      <c r="R69" s="36" t="str" cm="1">
        <f t="array" ref="R69">IFERROR(
  _xlfn.LET(
    _xlpm.cleaned, TRIM(SUBSTITUTE(A69,CHAR(160),"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70" spans="1:18" x14ac:dyDescent="0.25">
      <c r="A70" t="s">
        <v>69</v>
      </c>
      <c r="B70" s="27">
        <v>0.2707060185185185</v>
      </c>
      <c r="C70">
        <v>16</v>
      </c>
      <c r="D70" s="27">
        <v>2.5694444444444445E-3</v>
      </c>
      <c r="E70" s="27">
        <v>4.1053240740740737E-2</v>
      </c>
      <c r="F70">
        <v>0</v>
      </c>
      <c r="G70" s="27">
        <v>0</v>
      </c>
      <c r="H70" s="27">
        <v>0</v>
      </c>
      <c r="I70" s="34">
        <v>46</v>
      </c>
      <c r="J70" s="27">
        <v>1.7592592592592592E-3</v>
      </c>
      <c r="K70" s="35">
        <v>8.0775462962962966E-2</v>
      </c>
      <c r="L70">
        <v>3</v>
      </c>
      <c r="M70" s="27">
        <v>2.8819444444444444E-3</v>
      </c>
      <c r="N70" s="35">
        <v>8.6342592592592599E-3</v>
      </c>
      <c r="O70" s="3">
        <v>45931</v>
      </c>
      <c r="P70" t="str">
        <f t="shared" si="2"/>
        <v>October</v>
      </c>
      <c r="Q70" s="3">
        <f t="shared" si="3"/>
        <v>45929</v>
      </c>
      <c r="R70" s="36" t="str" cm="1">
        <f t="array" ref="R70">IFERROR(
  _xlfn.LET(
    _xlpm.cleaned, TRIM(SUBSTITUTE(A70,CHAR(160),"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1" spans="1:18" x14ac:dyDescent="0.25">
      <c r="A71" t="s">
        <v>69</v>
      </c>
      <c r="B71" s="27">
        <v>0.27295138888888887</v>
      </c>
      <c r="C71">
        <v>12</v>
      </c>
      <c r="D71" s="27">
        <v>2.662037037037037E-3</v>
      </c>
      <c r="E71" s="27">
        <v>3.1909722222222221E-2</v>
      </c>
      <c r="F71">
        <v>1</v>
      </c>
      <c r="G71" s="27">
        <v>2.2916666666666667E-3</v>
      </c>
      <c r="H71" s="27">
        <v>2.2916666666666667E-3</v>
      </c>
      <c r="I71" s="34">
        <v>41</v>
      </c>
      <c r="J71" s="27">
        <v>1.3425925925925925E-3</v>
      </c>
      <c r="K71" s="35">
        <v>5.5023148148148147E-2</v>
      </c>
      <c r="L71">
        <v>5</v>
      </c>
      <c r="M71" s="27">
        <v>4.7222222222222223E-3</v>
      </c>
      <c r="N71" s="35">
        <v>2.3599537037037037E-2</v>
      </c>
      <c r="O71" s="3">
        <v>45932</v>
      </c>
      <c r="P71" t="str">
        <f t="shared" si="2"/>
        <v>October</v>
      </c>
      <c r="Q71" s="3">
        <f t="shared" si="3"/>
        <v>45929</v>
      </c>
      <c r="R71" s="36" t="str" cm="1">
        <f t="array" ref="R71">IFERROR(
  _xlfn.LET(
    _xlpm.cleaned, TRIM(SUBSTITUTE(A71,CHAR(160),"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2" spans="1:18" x14ac:dyDescent="0.25">
      <c r="A72" t="s">
        <v>69</v>
      </c>
      <c r="B72" s="27">
        <v>0.28325231481481483</v>
      </c>
      <c r="C72">
        <v>9</v>
      </c>
      <c r="D72" s="27">
        <v>3.2870370370370371E-3</v>
      </c>
      <c r="E72" s="27">
        <v>2.9629629629629631E-2</v>
      </c>
      <c r="F72">
        <v>0</v>
      </c>
      <c r="G72" s="27">
        <v>0</v>
      </c>
      <c r="H72" s="27">
        <v>0</v>
      </c>
      <c r="I72" s="34">
        <v>24</v>
      </c>
      <c r="J72" s="27">
        <v>2.3495370370370371E-3</v>
      </c>
      <c r="K72" s="35">
        <v>5.6284722222222222E-2</v>
      </c>
      <c r="L72">
        <v>4</v>
      </c>
      <c r="M72" s="27">
        <v>1.7141203703703704E-2</v>
      </c>
      <c r="N72" s="35">
        <v>6.8576388888888895E-2</v>
      </c>
      <c r="O72" s="3">
        <v>45933</v>
      </c>
      <c r="P72" t="str">
        <f t="shared" si="2"/>
        <v>October</v>
      </c>
      <c r="Q72" s="3">
        <f t="shared" si="3"/>
        <v>45929</v>
      </c>
      <c r="R72" s="36" t="str" cm="1">
        <f t="array" ref="R72">IFERROR(
  _xlfn.LET(
    _xlpm.cleaned, TRIM(SUBSTITUTE(A72,CHAR(160),"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3" spans="1:18" x14ac:dyDescent="0.25">
      <c r="A73" t="s">
        <v>69</v>
      </c>
      <c r="B73" s="27">
        <v>0.26946759259259262</v>
      </c>
      <c r="C73">
        <v>14</v>
      </c>
      <c r="D73" s="27">
        <v>3.3564814814814816E-3</v>
      </c>
      <c r="E73" s="27">
        <v>4.704861111111111E-2</v>
      </c>
      <c r="F73">
        <v>0</v>
      </c>
      <c r="G73" s="27">
        <v>0</v>
      </c>
      <c r="H73" s="27">
        <v>0</v>
      </c>
      <c r="I73" s="34">
        <v>45</v>
      </c>
      <c r="J73" s="27">
        <v>2.4421296296296296E-3</v>
      </c>
      <c r="K73" s="35">
        <v>0.11015046296296296</v>
      </c>
      <c r="L73">
        <v>2</v>
      </c>
      <c r="M73" s="27">
        <v>4.4907407407407405E-3</v>
      </c>
      <c r="N73" s="35">
        <v>8.9699074074074073E-3</v>
      </c>
      <c r="O73" s="3">
        <v>45936</v>
      </c>
      <c r="P73" t="str">
        <f t="shared" si="2"/>
        <v>October</v>
      </c>
      <c r="Q73" s="3">
        <f t="shared" si="3"/>
        <v>45936</v>
      </c>
      <c r="R73" s="36" t="str" cm="1">
        <f t="array" ref="R73">IFERROR(
  _xlfn.LET(
    _xlpm.cleaned, TRIM(SUBSTITUTE(A73,CHAR(160),"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4" spans="1:18" x14ac:dyDescent="0.25">
      <c r="A74" t="s">
        <v>69</v>
      </c>
      <c r="B74" s="27">
        <v>0.23553240740740741</v>
      </c>
      <c r="C74">
        <v>11</v>
      </c>
      <c r="D74" s="27">
        <v>3.1712962962962962E-3</v>
      </c>
      <c r="E74" s="27">
        <v>3.4918981481481481E-2</v>
      </c>
      <c r="F74">
        <v>1</v>
      </c>
      <c r="G74" s="27">
        <v>2.0023148148148148E-3</v>
      </c>
      <c r="H74" s="27">
        <v>2.0023148148148148E-3</v>
      </c>
      <c r="I74" s="34">
        <v>43</v>
      </c>
      <c r="J74" s="27">
        <v>1.7708333333333332E-3</v>
      </c>
      <c r="K74" s="35">
        <v>7.6064814814814821E-2</v>
      </c>
      <c r="L74">
        <v>1</v>
      </c>
      <c r="M74" s="27">
        <v>1.2615740740740742E-2</v>
      </c>
      <c r="N74" s="35">
        <v>1.2615740740740742E-2</v>
      </c>
      <c r="O74" s="3">
        <v>45937</v>
      </c>
      <c r="P74" t="str">
        <f t="shared" si="2"/>
        <v>October</v>
      </c>
      <c r="Q74" s="3">
        <f t="shared" si="3"/>
        <v>45936</v>
      </c>
      <c r="R74" s="36" t="str" cm="1">
        <f t="array" ref="R74">IFERROR(
  _xlfn.LET(
    _xlpm.cleaned, TRIM(SUBSTITUTE(A74,CHAR(160),"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5" spans="1:18" x14ac:dyDescent="0.25">
      <c r="A75" t="s">
        <v>69</v>
      </c>
      <c r="B75" s="27">
        <v>0.27348379629629632</v>
      </c>
      <c r="C75">
        <v>21</v>
      </c>
      <c r="D75" s="27">
        <v>3.3449074074074076E-3</v>
      </c>
      <c r="E75" s="27">
        <v>7.0277777777777772E-2</v>
      </c>
      <c r="F75">
        <v>0</v>
      </c>
      <c r="G75" s="27">
        <v>0</v>
      </c>
      <c r="H75" s="27">
        <v>0</v>
      </c>
      <c r="I75" s="34">
        <v>41</v>
      </c>
      <c r="J75" s="27">
        <v>1.1342592592592593E-3</v>
      </c>
      <c r="K75" s="35">
        <v>4.6643518518518522E-2</v>
      </c>
      <c r="L75">
        <v>4</v>
      </c>
      <c r="M75" s="27">
        <v>3.6342592592592594E-3</v>
      </c>
      <c r="N75" s="35">
        <v>1.4513888888888889E-2</v>
      </c>
      <c r="O75" s="3">
        <v>45938</v>
      </c>
      <c r="P75" t="str">
        <f t="shared" si="2"/>
        <v>October</v>
      </c>
      <c r="Q75" s="3">
        <f t="shared" si="3"/>
        <v>45936</v>
      </c>
      <c r="R75" s="36" t="str" cm="1">
        <f t="array" ref="R75">IFERROR(
  _xlfn.LET(
    _xlpm.cleaned, TRIM(SUBSTITUTE(A75,CHAR(160),"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6" spans="1:18" x14ac:dyDescent="0.25">
      <c r="A76" t="s">
        <v>69</v>
      </c>
      <c r="B76" s="27">
        <v>0.2729050925925926</v>
      </c>
      <c r="C76">
        <v>15</v>
      </c>
      <c r="D76" s="27">
        <v>3.1134259259259257E-3</v>
      </c>
      <c r="E76" s="27">
        <v>4.6643518518518522E-2</v>
      </c>
      <c r="F76">
        <v>0</v>
      </c>
      <c r="G76" s="27">
        <v>0</v>
      </c>
      <c r="H76" s="27">
        <v>0</v>
      </c>
      <c r="I76" s="34">
        <v>38</v>
      </c>
      <c r="J76" s="27">
        <v>2.9745370370370373E-3</v>
      </c>
      <c r="K76" s="35">
        <v>0.11322916666666667</v>
      </c>
      <c r="L76">
        <v>2</v>
      </c>
      <c r="M76" s="27">
        <v>4.3055555555555555E-3</v>
      </c>
      <c r="N76" s="35">
        <v>8.611111111111111E-3</v>
      </c>
      <c r="O76" s="3">
        <v>45939</v>
      </c>
      <c r="P76" t="str">
        <f t="shared" si="2"/>
        <v>October</v>
      </c>
      <c r="Q76" s="3">
        <f t="shared" si="3"/>
        <v>45936</v>
      </c>
      <c r="R76" s="36" t="str" cm="1">
        <f t="array" ref="R76">IFERROR(
  _xlfn.LET(
    _xlpm.cleaned, TRIM(SUBSTITUTE(A76,CHAR(160),"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7" spans="1:18" x14ac:dyDescent="0.25">
      <c r="A77" t="s">
        <v>69</v>
      </c>
      <c r="B77" s="27">
        <v>0.26290509259259259</v>
      </c>
      <c r="C77">
        <v>9</v>
      </c>
      <c r="D77" s="27">
        <v>2.9976851851851853E-3</v>
      </c>
      <c r="E77" s="27">
        <v>2.7002314814814816E-2</v>
      </c>
      <c r="F77">
        <v>0</v>
      </c>
      <c r="G77" s="27">
        <v>0</v>
      </c>
      <c r="H77" s="27">
        <v>0</v>
      </c>
      <c r="I77" s="34">
        <v>47</v>
      </c>
      <c r="J77" s="27">
        <v>1.9560185185185184E-3</v>
      </c>
      <c r="K77" s="35">
        <v>9.1932870370370373E-2</v>
      </c>
      <c r="L77">
        <v>4</v>
      </c>
      <c r="M77" s="27">
        <v>4.43287037037037E-3</v>
      </c>
      <c r="N77" s="35">
        <v>1.773148148148148E-2</v>
      </c>
      <c r="O77" s="3">
        <v>45940</v>
      </c>
      <c r="P77" t="str">
        <f t="shared" si="2"/>
        <v>October</v>
      </c>
      <c r="Q77" s="3">
        <f t="shared" si="3"/>
        <v>45936</v>
      </c>
      <c r="R77" s="36" t="str" cm="1">
        <f t="array" ref="R77">IFERROR(
  _xlfn.LET(
    _xlpm.cleaned, TRIM(SUBSTITUTE(A77,CHAR(160),"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8" spans="1:18" x14ac:dyDescent="0.25">
      <c r="A78" t="s">
        <v>69</v>
      </c>
      <c r="B78" s="27">
        <v>0.28212962962962962</v>
      </c>
      <c r="C78">
        <v>17</v>
      </c>
      <c r="D78" s="27">
        <v>3.449074074074074E-3</v>
      </c>
      <c r="E78" s="27">
        <v>5.8657407407407408E-2</v>
      </c>
      <c r="F78">
        <v>0</v>
      </c>
      <c r="G78" s="27">
        <v>0</v>
      </c>
      <c r="H78" s="27">
        <v>0</v>
      </c>
      <c r="I78" s="34">
        <v>41</v>
      </c>
      <c r="J78" s="27">
        <v>1.3310185185185185E-3</v>
      </c>
      <c r="K78" s="35">
        <v>5.4745370370370368E-2</v>
      </c>
      <c r="L78">
        <v>2</v>
      </c>
      <c r="M78" s="27">
        <v>4.6990740740740743E-3</v>
      </c>
      <c r="N78" s="35">
        <v>9.3981481481481485E-3</v>
      </c>
      <c r="O78" s="3">
        <v>45944</v>
      </c>
      <c r="P78" t="str">
        <f t="shared" si="2"/>
        <v>October</v>
      </c>
      <c r="Q78" s="3">
        <f t="shared" si="3"/>
        <v>45943</v>
      </c>
      <c r="R78" s="36" t="str" cm="1">
        <f t="array" ref="R78">IFERROR(
  _xlfn.LET(
    _xlpm.cleaned, TRIM(SUBSTITUTE(A78,CHAR(160),"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79" spans="1:18" x14ac:dyDescent="0.25">
      <c r="A79" t="s">
        <v>69</v>
      </c>
      <c r="B79" s="27">
        <v>0.2802662037037037</v>
      </c>
      <c r="C79">
        <v>12</v>
      </c>
      <c r="D79" s="27">
        <v>2.8935185185185184E-3</v>
      </c>
      <c r="E79" s="27">
        <v>3.4780092592592592E-2</v>
      </c>
      <c r="F79">
        <v>0</v>
      </c>
      <c r="G79" s="27">
        <v>0</v>
      </c>
      <c r="H79" s="27">
        <v>0</v>
      </c>
      <c r="I79" s="34">
        <v>38</v>
      </c>
      <c r="J79" s="27">
        <v>3.1134259259259257E-3</v>
      </c>
      <c r="K79" s="35">
        <v>0.11825231481481481</v>
      </c>
      <c r="L79">
        <v>4</v>
      </c>
      <c r="M79" s="27">
        <v>4.3518518518518515E-3</v>
      </c>
      <c r="N79" s="35">
        <v>1.7407407407407406E-2</v>
      </c>
      <c r="O79" s="3">
        <v>45945</v>
      </c>
      <c r="P79" t="str">
        <f t="shared" si="2"/>
        <v>October</v>
      </c>
      <c r="Q79" s="3">
        <f t="shared" si="3"/>
        <v>45943</v>
      </c>
      <c r="R79" s="36" t="str" cm="1">
        <f t="array" ref="R79">IFERROR(
  _xlfn.LET(
    _xlpm.cleaned, TRIM(SUBSTITUTE(A79,CHAR(160),"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0" spans="1:18" x14ac:dyDescent="0.25">
      <c r="A80" t="s">
        <v>69</v>
      </c>
      <c r="B80" s="27">
        <v>0.25835648148148149</v>
      </c>
      <c r="C80">
        <v>18</v>
      </c>
      <c r="D80" s="27">
        <v>4.8842592592592592E-3</v>
      </c>
      <c r="E80" s="27">
        <v>8.7974537037037032E-2</v>
      </c>
      <c r="F80">
        <v>0</v>
      </c>
      <c r="G80" s="27">
        <v>0</v>
      </c>
      <c r="H80" s="27">
        <v>0</v>
      </c>
      <c r="I80" s="34">
        <v>43</v>
      </c>
      <c r="J80" s="27">
        <v>1.6782407407407408E-3</v>
      </c>
      <c r="K80" s="35">
        <v>7.2361111111111112E-2</v>
      </c>
      <c r="L80">
        <v>3</v>
      </c>
      <c r="M80" s="27">
        <v>6.1689814814814819E-3</v>
      </c>
      <c r="N80" s="35">
        <v>1.849537037037037E-2</v>
      </c>
      <c r="O80" s="3">
        <v>45946</v>
      </c>
      <c r="P80" t="str">
        <f t="shared" si="2"/>
        <v>October</v>
      </c>
      <c r="Q80" s="3">
        <f t="shared" si="3"/>
        <v>45943</v>
      </c>
      <c r="R80" s="36" t="str" cm="1">
        <f t="array" ref="R80">IFERROR(
  _xlfn.LET(
    _xlpm.cleaned, TRIM(SUBSTITUTE(A80,CHAR(160),"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1" spans="1:18" x14ac:dyDescent="0.25">
      <c r="A81" t="s">
        <v>69</v>
      </c>
      <c r="B81" s="27">
        <v>0.26784722222222224</v>
      </c>
      <c r="C81">
        <v>11</v>
      </c>
      <c r="D81" s="27">
        <v>3.9467592592592592E-3</v>
      </c>
      <c r="E81" s="27">
        <v>4.3460648148148151E-2</v>
      </c>
      <c r="F81">
        <v>0</v>
      </c>
      <c r="G81" s="27">
        <v>0</v>
      </c>
      <c r="H81" s="27">
        <v>0</v>
      </c>
      <c r="I81" s="34">
        <v>43</v>
      </c>
      <c r="J81" s="27">
        <v>1.5740740740740741E-3</v>
      </c>
      <c r="K81" s="35">
        <v>6.7500000000000004E-2</v>
      </c>
      <c r="L81">
        <v>5</v>
      </c>
      <c r="M81" s="27">
        <v>5.6712962962962967E-3</v>
      </c>
      <c r="N81" s="35">
        <v>2.837962962962963E-2</v>
      </c>
      <c r="O81" s="3">
        <v>45947</v>
      </c>
      <c r="P81" t="str">
        <f t="shared" si="2"/>
        <v>October</v>
      </c>
      <c r="Q81" s="3">
        <f t="shared" si="3"/>
        <v>45943</v>
      </c>
      <c r="R81" s="36" t="str" cm="1">
        <f t="array" ref="R81">IFERROR(
  _xlfn.LET(
    _xlpm.cleaned, TRIM(SUBSTITUTE(A81,CHAR(160),"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2" spans="1:18" x14ac:dyDescent="0.25">
      <c r="A82" t="s">
        <v>69</v>
      </c>
      <c r="B82" s="27">
        <v>0.57259259259259254</v>
      </c>
      <c r="C82">
        <v>9</v>
      </c>
      <c r="D82" s="27">
        <v>3.5300925925925925E-3</v>
      </c>
      <c r="E82" s="27">
        <v>3.1782407407407405E-2</v>
      </c>
      <c r="F82">
        <v>0</v>
      </c>
      <c r="G82" s="27">
        <v>0</v>
      </c>
      <c r="H82" s="27">
        <v>0</v>
      </c>
      <c r="I82" s="34">
        <v>27</v>
      </c>
      <c r="J82" s="27">
        <v>1.7615740740740741E-2</v>
      </c>
      <c r="K82" s="35">
        <v>0.47576388888888888</v>
      </c>
      <c r="L82">
        <v>1</v>
      </c>
      <c r="M82" s="27">
        <v>1.0150462962962964E-2</v>
      </c>
      <c r="N82" s="35">
        <v>1.0150462962962964E-2</v>
      </c>
      <c r="O82" s="3">
        <v>45950</v>
      </c>
      <c r="P82" t="str">
        <f t="shared" si="2"/>
        <v>October</v>
      </c>
      <c r="Q82" s="3">
        <f t="shared" si="3"/>
        <v>45950</v>
      </c>
      <c r="R82" s="36" t="str" cm="1">
        <f t="array" ref="R82">IFERROR(
  _xlfn.LET(
    _xlpm.cleaned, TRIM(SUBSTITUTE(A82,CHAR(160),"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3" spans="1:18" x14ac:dyDescent="0.25">
      <c r="A83" t="s">
        <v>69</v>
      </c>
      <c r="B83" s="27">
        <v>0.61707175925925928</v>
      </c>
      <c r="C83">
        <v>7</v>
      </c>
      <c r="D83" s="27">
        <v>2.9629629629629628E-3</v>
      </c>
      <c r="E83" s="27">
        <v>2.074074074074074E-2</v>
      </c>
      <c r="F83">
        <v>0</v>
      </c>
      <c r="G83" s="27">
        <v>0</v>
      </c>
      <c r="H83" s="27">
        <v>0</v>
      </c>
      <c r="I83" s="34">
        <v>38</v>
      </c>
      <c r="J83" s="27">
        <v>1.2129629629629629E-2</v>
      </c>
      <c r="K83" s="35">
        <v>0.46094907407407409</v>
      </c>
      <c r="L83">
        <v>1</v>
      </c>
      <c r="M83" s="27">
        <v>1.105324074074074E-2</v>
      </c>
      <c r="N83" s="35">
        <v>1.105324074074074E-2</v>
      </c>
      <c r="O83" s="3">
        <v>45951</v>
      </c>
      <c r="P83" t="str">
        <f t="shared" si="2"/>
        <v>October</v>
      </c>
      <c r="Q83" s="3">
        <f t="shared" si="3"/>
        <v>45950</v>
      </c>
      <c r="R83" s="36" t="str" cm="1">
        <f t="array" ref="R83">IFERROR(
  _xlfn.LET(
    _xlpm.cleaned, TRIM(SUBSTITUTE(A83,CHAR(160),"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4" spans="1:18" x14ac:dyDescent="0.25">
      <c r="A84" t="s">
        <v>69</v>
      </c>
      <c r="B84" s="27">
        <v>0.28032407407407406</v>
      </c>
      <c r="C84">
        <v>13</v>
      </c>
      <c r="D84" s="27">
        <v>2.8009259259259259E-3</v>
      </c>
      <c r="E84" s="27">
        <v>3.6446759259259262E-2</v>
      </c>
      <c r="F84">
        <v>0</v>
      </c>
      <c r="G84" s="27">
        <v>0</v>
      </c>
      <c r="H84" s="27">
        <v>0</v>
      </c>
      <c r="I84" s="34">
        <v>41</v>
      </c>
      <c r="J84" s="27">
        <v>2.5115740740740741E-3</v>
      </c>
      <c r="K84" s="35">
        <v>0.10318287037037037</v>
      </c>
      <c r="L84">
        <v>3</v>
      </c>
      <c r="M84" s="27">
        <v>8.611111111111111E-3</v>
      </c>
      <c r="N84" s="35">
        <v>2.5844907407407407E-2</v>
      </c>
      <c r="O84" s="3">
        <v>45952</v>
      </c>
      <c r="P84" t="str">
        <f t="shared" si="2"/>
        <v>October</v>
      </c>
      <c r="Q84" s="3">
        <f t="shared" si="3"/>
        <v>45950</v>
      </c>
      <c r="R84" s="36" t="str" cm="1">
        <f t="array" ref="R84">IFERROR(
  _xlfn.LET(
    _xlpm.cleaned, TRIM(SUBSTITUTE(A84,CHAR(160),"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5" spans="1:18" x14ac:dyDescent="0.25">
      <c r="A85" t="s">
        <v>69</v>
      </c>
      <c r="B85" s="27">
        <v>0.25942129629629629</v>
      </c>
      <c r="C85">
        <v>9</v>
      </c>
      <c r="D85" s="27">
        <v>2.662037037037037E-3</v>
      </c>
      <c r="E85" s="27">
        <v>2.3923611111111111E-2</v>
      </c>
      <c r="F85">
        <v>0</v>
      </c>
      <c r="G85" s="27">
        <v>0</v>
      </c>
      <c r="H85" s="27">
        <v>0</v>
      </c>
      <c r="I85" s="34">
        <v>34</v>
      </c>
      <c r="J85" s="27">
        <v>2.9050925925925928E-3</v>
      </c>
      <c r="K85" s="35">
        <v>9.8958333333333329E-2</v>
      </c>
      <c r="L85">
        <v>3</v>
      </c>
      <c r="M85" s="27">
        <v>4.8148148148148152E-3</v>
      </c>
      <c r="N85" s="35">
        <v>1.4444444444444444E-2</v>
      </c>
      <c r="O85" s="3">
        <v>45953</v>
      </c>
      <c r="P85" t="str">
        <f t="shared" si="2"/>
        <v>October</v>
      </c>
      <c r="Q85" s="3">
        <f t="shared" si="3"/>
        <v>45950</v>
      </c>
      <c r="R85" s="36" t="str" cm="1">
        <f t="array" ref="R85">IFERROR(
  _xlfn.LET(
    _xlpm.cleaned, TRIM(SUBSTITUTE(A85,CHAR(160),"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6" spans="1:18" x14ac:dyDescent="0.25">
      <c r="A86" t="s">
        <v>69</v>
      </c>
      <c r="B86" s="27">
        <v>0.2829861111111111</v>
      </c>
      <c r="C86">
        <v>8</v>
      </c>
      <c r="D86" s="27">
        <v>2.488425925925926E-3</v>
      </c>
      <c r="E86" s="27">
        <v>1.9895833333333335E-2</v>
      </c>
      <c r="F86">
        <v>0</v>
      </c>
      <c r="G86" s="27">
        <v>0</v>
      </c>
      <c r="H86" s="27">
        <v>0</v>
      </c>
      <c r="I86" s="34">
        <v>38</v>
      </c>
      <c r="J86" s="27">
        <v>2.8240740740740739E-3</v>
      </c>
      <c r="K86" s="35">
        <v>0.10710648148148148</v>
      </c>
      <c r="L86">
        <v>3</v>
      </c>
      <c r="M86" s="27">
        <v>7.6041666666666671E-3</v>
      </c>
      <c r="N86" s="35">
        <v>2.2800925925925926E-2</v>
      </c>
      <c r="O86" s="3">
        <v>45954</v>
      </c>
      <c r="P86" t="str">
        <f t="shared" si="2"/>
        <v>October</v>
      </c>
      <c r="Q86" s="3">
        <f t="shared" si="3"/>
        <v>45950</v>
      </c>
      <c r="R86" s="36" t="str" cm="1">
        <f t="array" ref="R86">IFERROR(
  _xlfn.LET(
    _xlpm.cleaned, TRIM(SUBSTITUTE(A86,CHAR(160),"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7" spans="1:18" x14ac:dyDescent="0.25">
      <c r="A87" t="s">
        <v>69</v>
      </c>
      <c r="B87" s="27">
        <v>0.28280092592592593</v>
      </c>
      <c r="C87">
        <v>18</v>
      </c>
      <c r="D87" s="27">
        <v>1.7592592592592592E-3</v>
      </c>
      <c r="E87" s="27">
        <v>3.1747685185185184E-2</v>
      </c>
      <c r="F87">
        <v>0</v>
      </c>
      <c r="G87" s="27">
        <v>0</v>
      </c>
      <c r="H87" s="27">
        <v>0</v>
      </c>
      <c r="I87" s="34">
        <v>47</v>
      </c>
      <c r="J87" s="27">
        <v>1.9097222222222222E-3</v>
      </c>
      <c r="K87" s="35">
        <v>8.9733796296296298E-2</v>
      </c>
      <c r="L87">
        <v>3</v>
      </c>
      <c r="M87" s="27">
        <v>6.2268518518518515E-3</v>
      </c>
      <c r="N87" s="35">
        <v>1.8668981481481481E-2</v>
      </c>
      <c r="O87" s="3">
        <v>45957</v>
      </c>
      <c r="P87" t="str">
        <f t="shared" si="2"/>
        <v>October</v>
      </c>
      <c r="Q87" s="3">
        <f t="shared" si="3"/>
        <v>45957</v>
      </c>
      <c r="R87" s="36" t="str" cm="1">
        <f t="array" ref="R87">IFERROR(
  _xlfn.LET(
    _xlpm.cleaned, TRIM(SUBSTITUTE(A87,CHAR(160),"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8" spans="1:18" x14ac:dyDescent="0.25">
      <c r="A88" t="s">
        <v>69</v>
      </c>
      <c r="B88" s="27">
        <v>0.24087962962962964</v>
      </c>
      <c r="C88">
        <v>10</v>
      </c>
      <c r="D88" s="27">
        <v>4.0277777777777777E-3</v>
      </c>
      <c r="E88" s="27">
        <v>4.0266203703703707E-2</v>
      </c>
      <c r="F88">
        <v>0</v>
      </c>
      <c r="G88" s="27">
        <v>0</v>
      </c>
      <c r="H88" s="27">
        <v>0</v>
      </c>
      <c r="I88" s="34">
        <v>36</v>
      </c>
      <c r="J88" s="27">
        <v>1.7013888888888888E-3</v>
      </c>
      <c r="K88" s="35">
        <v>6.1249999999999999E-2</v>
      </c>
      <c r="L88">
        <v>3</v>
      </c>
      <c r="M88" s="27">
        <v>1.0219907407407407E-2</v>
      </c>
      <c r="N88" s="35">
        <v>3.0671296296296297E-2</v>
      </c>
      <c r="O88" s="3">
        <v>45958</v>
      </c>
      <c r="P88" t="str">
        <f t="shared" si="2"/>
        <v>October</v>
      </c>
      <c r="Q88" s="3">
        <f t="shared" si="3"/>
        <v>45957</v>
      </c>
      <c r="R88" s="36" t="str" cm="1">
        <f t="array" ref="R88">IFERROR(
  _xlfn.LET(
    _xlpm.cleaned, TRIM(SUBSTITUTE(A88,CHAR(160),"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89" spans="1:18" x14ac:dyDescent="0.25">
      <c r="A89" t="s">
        <v>69</v>
      </c>
      <c r="B89" s="27">
        <v>3.3750000000000002E-2</v>
      </c>
      <c r="C89">
        <v>4</v>
      </c>
      <c r="D89" s="27">
        <v>2.3263888888888887E-3</v>
      </c>
      <c r="E89" s="27">
        <v>9.2939814814814812E-3</v>
      </c>
      <c r="F89">
        <v>0</v>
      </c>
      <c r="G89" s="27">
        <v>0</v>
      </c>
      <c r="H89" s="27">
        <v>0</v>
      </c>
      <c r="I89" s="34">
        <v>5</v>
      </c>
      <c r="J89" s="27">
        <v>3.2407407407407406E-4</v>
      </c>
      <c r="K89" s="35">
        <v>1.6087962962962963E-3</v>
      </c>
      <c r="L89">
        <v>1</v>
      </c>
      <c r="M89" s="27">
        <v>7.9398148148148145E-3</v>
      </c>
      <c r="N89" s="35">
        <v>7.9398148148148145E-3</v>
      </c>
      <c r="O89" s="3">
        <v>45959</v>
      </c>
      <c r="P89" t="str">
        <f t="shared" si="2"/>
        <v>October</v>
      </c>
      <c r="Q89" s="3">
        <f t="shared" si="3"/>
        <v>45957</v>
      </c>
      <c r="R89" s="36" t="str" cm="1">
        <f t="array" ref="R89">IFERROR(
  _xlfn.LET(
    _xlpm.cleaned, TRIM(SUBSTITUTE(A89,CHAR(160),"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90" spans="1:18" x14ac:dyDescent="0.25">
      <c r="A90" t="s">
        <v>69</v>
      </c>
      <c r="B90" s="27">
        <v>0.27207175925925925</v>
      </c>
      <c r="C90">
        <v>7</v>
      </c>
      <c r="D90" s="27">
        <v>3.2523148148148147E-3</v>
      </c>
      <c r="E90" s="27">
        <v>2.2800925925925926E-2</v>
      </c>
      <c r="F90">
        <v>0</v>
      </c>
      <c r="G90" s="27">
        <v>0</v>
      </c>
      <c r="H90" s="27">
        <v>0</v>
      </c>
      <c r="I90" s="34">
        <v>35</v>
      </c>
      <c r="J90" s="27">
        <v>2.7083333333333334E-3</v>
      </c>
      <c r="K90" s="35">
        <v>9.4965277777777773E-2</v>
      </c>
      <c r="L90">
        <v>4</v>
      </c>
      <c r="M90" s="27">
        <v>3.8194444444444443E-3</v>
      </c>
      <c r="N90" s="35">
        <v>1.5277777777777777E-2</v>
      </c>
      <c r="O90" s="3">
        <v>45960</v>
      </c>
      <c r="P90" t="str">
        <f t="shared" si="2"/>
        <v>October</v>
      </c>
      <c r="Q90" s="3">
        <f t="shared" si="3"/>
        <v>45957</v>
      </c>
      <c r="R90" s="36" t="str" cm="1">
        <f t="array" ref="R90">IFERROR(
  _xlfn.LET(
    _xlpm.cleaned, TRIM(SUBSTITUTE(A90,CHAR(160),"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91" spans="1:18" x14ac:dyDescent="0.25">
      <c r="A91" t="s">
        <v>69</v>
      </c>
      <c r="B91" s="27">
        <v>0.26063657407407409</v>
      </c>
      <c r="C91">
        <v>7</v>
      </c>
      <c r="D91" s="27">
        <v>2.627314814814815E-3</v>
      </c>
      <c r="E91" s="27">
        <v>1.8402777777777778E-2</v>
      </c>
      <c r="F91">
        <v>0</v>
      </c>
      <c r="G91" s="27">
        <v>0</v>
      </c>
      <c r="H91" s="27">
        <v>0</v>
      </c>
      <c r="I91" s="34">
        <v>35</v>
      </c>
      <c r="J91" s="27">
        <v>3.5069444444444445E-3</v>
      </c>
      <c r="K91" s="35">
        <v>0.1228587962962963</v>
      </c>
      <c r="L91">
        <v>3</v>
      </c>
      <c r="M91" s="27">
        <v>7.8356481481481489E-3</v>
      </c>
      <c r="N91" s="35">
        <v>2.3495370370370371E-2</v>
      </c>
      <c r="O91" s="3">
        <v>45961</v>
      </c>
      <c r="P91" t="str">
        <f t="shared" si="2"/>
        <v>October</v>
      </c>
      <c r="Q91" s="3">
        <f t="shared" si="3"/>
        <v>45957</v>
      </c>
      <c r="R91" s="36" t="str" cm="1">
        <f t="array" ref="R91">IFERROR(
  _xlfn.LET(
    _xlpm.cleaned, TRIM(SUBSTITUTE(A91,CHAR(160),"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92" spans="1:18" x14ac:dyDescent="0.25">
      <c r="A92" t="s">
        <v>69</v>
      </c>
      <c r="B92" s="27">
        <v>0.25737268518518519</v>
      </c>
      <c r="C92">
        <v>4</v>
      </c>
      <c r="D92" s="27">
        <v>2.1759259259259258E-3</v>
      </c>
      <c r="E92" s="27">
        <v>8.726851851851852E-3</v>
      </c>
      <c r="F92">
        <v>0</v>
      </c>
      <c r="G92" s="27">
        <v>0</v>
      </c>
      <c r="H92" s="27">
        <v>0</v>
      </c>
      <c r="I92" s="34">
        <v>21</v>
      </c>
      <c r="J92" s="27">
        <v>7.0023148148148145E-3</v>
      </c>
      <c r="K92" s="35">
        <v>0.14701388888888889</v>
      </c>
      <c r="L92">
        <v>2</v>
      </c>
      <c r="M92" s="27">
        <v>5.8101851851851856E-3</v>
      </c>
      <c r="N92" s="35">
        <v>1.1620370370370371E-2</v>
      </c>
      <c r="O92" s="3">
        <v>45964</v>
      </c>
      <c r="P92" t="str">
        <f t="shared" si="2"/>
        <v>November</v>
      </c>
      <c r="Q92" s="3">
        <f t="shared" si="3"/>
        <v>45964</v>
      </c>
      <c r="R92" s="36" t="str" cm="1">
        <f t="array" ref="R92">IFERROR(
  _xlfn.LET(
    _xlpm.cleaned, TRIM(SUBSTITUTE(A92,CHAR(160),"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93" spans="1:18" x14ac:dyDescent="0.25">
      <c r="A93" t="s">
        <v>69</v>
      </c>
      <c r="B93" s="27">
        <v>0.26899305555555558</v>
      </c>
      <c r="C93">
        <v>10</v>
      </c>
      <c r="D93" s="27">
        <v>1.9675925925925924E-3</v>
      </c>
      <c r="E93" s="27">
        <v>1.96875E-2</v>
      </c>
      <c r="F93">
        <v>0</v>
      </c>
      <c r="G93" s="27">
        <v>0</v>
      </c>
      <c r="H93" s="27">
        <v>0</v>
      </c>
      <c r="I93" s="34">
        <v>32</v>
      </c>
      <c r="J93" s="27">
        <v>3.9351851851851848E-3</v>
      </c>
      <c r="K93" s="35">
        <v>0.12590277777777778</v>
      </c>
      <c r="L93">
        <v>4</v>
      </c>
      <c r="M93" s="27">
        <v>6.2268518518518515E-3</v>
      </c>
      <c r="N93" s="35">
        <v>2.4907407407407406E-2</v>
      </c>
      <c r="O93" s="3">
        <v>45965</v>
      </c>
      <c r="P93" t="str">
        <f t="shared" si="2"/>
        <v>November</v>
      </c>
      <c r="Q93" s="3">
        <f t="shared" si="3"/>
        <v>45964</v>
      </c>
      <c r="R93" s="36" t="str" cm="1">
        <f t="array" ref="R93">IFERROR(
  _xlfn.LET(
    _xlpm.cleaned, TRIM(SUBSTITUTE(A93,CHAR(160),"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94" spans="1:18" x14ac:dyDescent="0.25">
      <c r="A94" t="s">
        <v>69</v>
      </c>
      <c r="B94" s="27">
        <v>0.28164351851851854</v>
      </c>
      <c r="C94">
        <v>9</v>
      </c>
      <c r="D94" s="27">
        <v>3.0671296296296297E-3</v>
      </c>
      <c r="E94" s="27">
        <v>2.763888888888889E-2</v>
      </c>
      <c r="F94">
        <v>1</v>
      </c>
      <c r="G94" s="27">
        <v>1.3194444444444445E-3</v>
      </c>
      <c r="H94" s="27">
        <v>1.3194444444444445E-3</v>
      </c>
      <c r="I94" s="34">
        <v>33</v>
      </c>
      <c r="J94" s="27">
        <v>3.5416666666666665E-3</v>
      </c>
      <c r="K94" s="35">
        <v>0.11670138888888888</v>
      </c>
      <c r="L94">
        <v>5</v>
      </c>
      <c r="M94" s="27">
        <v>5.0462962962962961E-3</v>
      </c>
      <c r="N94" s="35">
        <v>2.525462962962963E-2</v>
      </c>
      <c r="O94" s="3">
        <v>45966</v>
      </c>
      <c r="P94" t="str">
        <f t="shared" si="2"/>
        <v>November</v>
      </c>
      <c r="Q94" s="3">
        <f t="shared" si="3"/>
        <v>45964</v>
      </c>
      <c r="R94" s="36" t="str" cm="1">
        <f t="array" ref="R94">IFERROR(
  _xlfn.LET(
    _xlpm.cleaned, TRIM(SUBSTITUTE(A94,CHAR(160),"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95" spans="1:18" x14ac:dyDescent="0.25">
      <c r="A95" t="s">
        <v>69</v>
      </c>
      <c r="B95" s="27">
        <v>0.27302083333333332</v>
      </c>
      <c r="C95">
        <v>12</v>
      </c>
      <c r="D95" s="27">
        <v>3.0555555555555557E-3</v>
      </c>
      <c r="E95" s="27">
        <v>3.6597222222222225E-2</v>
      </c>
      <c r="F95">
        <v>1</v>
      </c>
      <c r="G95" s="27">
        <v>1.2268518518518518E-3</v>
      </c>
      <c r="H95" s="27">
        <v>1.2268518518518518E-3</v>
      </c>
      <c r="I95" s="34">
        <v>40</v>
      </c>
      <c r="J95" s="27">
        <v>2.3263888888888887E-3</v>
      </c>
      <c r="K95" s="35">
        <v>9.2951388888888889E-2</v>
      </c>
      <c r="L95">
        <v>3</v>
      </c>
      <c r="M95" s="27">
        <v>7.8240740740740736E-3</v>
      </c>
      <c r="N95" s="35">
        <v>2.3472222222222221E-2</v>
      </c>
      <c r="O95" s="3">
        <v>45967</v>
      </c>
      <c r="P95" t="str">
        <f t="shared" si="2"/>
        <v>November</v>
      </c>
      <c r="Q95" s="3">
        <f t="shared" si="3"/>
        <v>45964</v>
      </c>
      <c r="R95" s="36" t="str" cm="1">
        <f t="array" ref="R95">IFERROR(
  _xlfn.LET(
    _xlpm.cleaned, TRIM(SUBSTITUTE(A95,CHAR(160),"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96" spans="1:18" x14ac:dyDescent="0.25">
      <c r="A96" t="s">
        <v>70</v>
      </c>
      <c r="B96" s="27">
        <v>0.32612268518518517</v>
      </c>
      <c r="C96">
        <v>25</v>
      </c>
      <c r="D96" s="27">
        <v>2.5578703703703705E-3</v>
      </c>
      <c r="E96" s="27">
        <v>6.385416666666667E-2</v>
      </c>
      <c r="F96">
        <v>4</v>
      </c>
      <c r="G96" s="27">
        <v>1.6203703703703703E-4</v>
      </c>
      <c r="H96" s="27">
        <v>6.2500000000000001E-4</v>
      </c>
      <c r="I96" s="34">
        <v>33</v>
      </c>
      <c r="J96" s="27">
        <v>1.4814814814814814E-3</v>
      </c>
      <c r="K96" s="35">
        <v>4.8854166666666664E-2</v>
      </c>
      <c r="L96">
        <v>0</v>
      </c>
      <c r="M96" s="27">
        <v>0</v>
      </c>
      <c r="N96" s="35">
        <v>0</v>
      </c>
      <c r="O96" s="3">
        <v>45931</v>
      </c>
      <c r="P96" t="str">
        <f t="shared" si="2"/>
        <v>October</v>
      </c>
      <c r="Q96" s="3">
        <f t="shared" si="3"/>
        <v>45929</v>
      </c>
      <c r="R96" s="36" t="str" cm="1">
        <f t="array" ref="R96">IFERROR(
  _xlfn.LET(
    _xlpm.cleaned, TRIM(SUBSTITUTE(A96,CHAR(160),"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97" spans="1:18" x14ac:dyDescent="0.25">
      <c r="A97" t="s">
        <v>70</v>
      </c>
      <c r="B97" s="27">
        <v>0.328125</v>
      </c>
      <c r="C97">
        <v>29</v>
      </c>
      <c r="D97" s="27">
        <v>1.6319444444444445E-3</v>
      </c>
      <c r="E97" s="27">
        <v>4.732638888888889E-2</v>
      </c>
      <c r="F97">
        <v>2</v>
      </c>
      <c r="G97" s="27">
        <v>5.7870370370370373E-5</v>
      </c>
      <c r="H97" s="27">
        <v>1.1574074074074075E-4</v>
      </c>
      <c r="I97" s="34">
        <v>36</v>
      </c>
      <c r="J97" s="27">
        <v>1.0532407407407407E-3</v>
      </c>
      <c r="K97" s="35">
        <v>3.8032407407407411E-2</v>
      </c>
      <c r="L97">
        <v>0</v>
      </c>
      <c r="M97" s="27">
        <v>0</v>
      </c>
      <c r="N97" s="35">
        <v>0</v>
      </c>
      <c r="O97" s="3">
        <v>45932</v>
      </c>
      <c r="P97" t="str">
        <f t="shared" si="2"/>
        <v>October</v>
      </c>
      <c r="Q97" s="3">
        <f t="shared" si="3"/>
        <v>45929</v>
      </c>
      <c r="R97" s="36" t="str" cm="1">
        <f t="array" ref="R97">IFERROR(
  _xlfn.LET(
    _xlpm.cleaned, TRIM(SUBSTITUTE(A97,CHAR(160),"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98" spans="1:18" x14ac:dyDescent="0.25">
      <c r="A98" t="s">
        <v>70</v>
      </c>
      <c r="B98" s="27">
        <v>0.31192129629629628</v>
      </c>
      <c r="C98">
        <v>25</v>
      </c>
      <c r="D98" s="27">
        <v>2.662037037037037E-3</v>
      </c>
      <c r="E98" s="27">
        <v>6.6469907407407408E-2</v>
      </c>
      <c r="F98">
        <v>0</v>
      </c>
      <c r="G98" s="27">
        <v>0</v>
      </c>
      <c r="H98" s="27">
        <v>0</v>
      </c>
      <c r="I98" s="34">
        <v>36</v>
      </c>
      <c r="J98" s="27">
        <v>1.0763888888888889E-3</v>
      </c>
      <c r="K98" s="35">
        <v>3.8773148148148147E-2</v>
      </c>
      <c r="L98">
        <v>0</v>
      </c>
      <c r="M98" s="27">
        <v>0</v>
      </c>
      <c r="N98" s="35">
        <v>0</v>
      </c>
      <c r="O98" s="3">
        <v>45933</v>
      </c>
      <c r="P98" t="str">
        <f t="shared" si="2"/>
        <v>October</v>
      </c>
      <c r="Q98" s="3">
        <f t="shared" si="3"/>
        <v>45929</v>
      </c>
      <c r="R98" s="36" t="str" cm="1">
        <f t="array" ref="R98">IFERROR(
  _xlfn.LET(
    _xlpm.cleaned, TRIM(SUBSTITUTE(A98,CHAR(160),"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99" spans="1:18" x14ac:dyDescent="0.25">
      <c r="A99" t="s">
        <v>70</v>
      </c>
      <c r="B99" s="27">
        <v>0.63979166666666665</v>
      </c>
      <c r="C99">
        <v>33</v>
      </c>
      <c r="D99" s="27">
        <v>2.3032407407407407E-3</v>
      </c>
      <c r="E99" s="27">
        <v>7.587962962962963E-2</v>
      </c>
      <c r="F99">
        <v>0</v>
      </c>
      <c r="G99" s="27">
        <v>0</v>
      </c>
      <c r="H99" s="27">
        <v>0</v>
      </c>
      <c r="I99" s="34">
        <v>68</v>
      </c>
      <c r="J99" s="27">
        <v>7.5231481481481482E-4</v>
      </c>
      <c r="K99" s="35">
        <v>5.0833333333333335E-2</v>
      </c>
      <c r="L99">
        <v>0</v>
      </c>
      <c r="M99" s="27">
        <v>0</v>
      </c>
      <c r="N99" s="35">
        <v>0</v>
      </c>
      <c r="O99" s="3">
        <v>45936</v>
      </c>
      <c r="P99" t="str">
        <f t="shared" si="2"/>
        <v>October</v>
      </c>
      <c r="Q99" s="3">
        <f t="shared" si="3"/>
        <v>45936</v>
      </c>
      <c r="R99" s="36" t="str" cm="1">
        <f t="array" ref="R99">IFERROR(
  _xlfn.LET(
    _xlpm.cleaned, TRIM(SUBSTITUTE(A99,CHAR(160),"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0" spans="1:18" x14ac:dyDescent="0.25">
      <c r="A100" t="s">
        <v>70</v>
      </c>
      <c r="B100" s="27">
        <v>0.28472222222222221</v>
      </c>
      <c r="C100">
        <v>26</v>
      </c>
      <c r="D100" s="27">
        <v>1.7592592592592592E-3</v>
      </c>
      <c r="E100" s="27">
        <v>4.5810185185185183E-2</v>
      </c>
      <c r="F100">
        <v>0</v>
      </c>
      <c r="G100" s="27">
        <v>0</v>
      </c>
      <c r="H100" s="27">
        <v>0</v>
      </c>
      <c r="I100" s="34">
        <v>59</v>
      </c>
      <c r="J100" s="27">
        <v>9.2592592592592596E-4</v>
      </c>
      <c r="K100" s="35">
        <v>5.4525462962962963E-2</v>
      </c>
      <c r="L100">
        <v>0</v>
      </c>
      <c r="M100" s="27">
        <v>0</v>
      </c>
      <c r="N100" s="35">
        <v>0</v>
      </c>
      <c r="O100" s="3">
        <v>45937</v>
      </c>
      <c r="P100" t="str">
        <f t="shared" si="2"/>
        <v>October</v>
      </c>
      <c r="Q100" s="3">
        <f t="shared" si="3"/>
        <v>45936</v>
      </c>
      <c r="R100" s="36" t="str" cm="1">
        <f t="array" ref="R100">IFERROR(
  _xlfn.LET(
    _xlpm.cleaned, TRIM(SUBSTITUTE(A100,CHAR(160),"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1" spans="1:18" x14ac:dyDescent="0.25">
      <c r="A101" t="s">
        <v>70</v>
      </c>
      <c r="B101" s="27">
        <v>0.33413194444444444</v>
      </c>
      <c r="C101">
        <v>27</v>
      </c>
      <c r="D101" s="27">
        <v>1.6666666666666668E-3</v>
      </c>
      <c r="E101" s="27">
        <v>4.4918981481481483E-2</v>
      </c>
      <c r="F101">
        <v>0</v>
      </c>
      <c r="G101" s="27">
        <v>0</v>
      </c>
      <c r="H101" s="27">
        <v>0</v>
      </c>
      <c r="I101" s="34">
        <v>62</v>
      </c>
      <c r="J101" s="27">
        <v>1.0763888888888889E-3</v>
      </c>
      <c r="K101" s="35">
        <v>6.6481481481481475E-2</v>
      </c>
      <c r="L101">
        <v>0</v>
      </c>
      <c r="M101" s="27">
        <v>0</v>
      </c>
      <c r="N101" s="35">
        <v>0</v>
      </c>
      <c r="O101" s="3">
        <v>45938</v>
      </c>
      <c r="P101" t="str">
        <f t="shared" si="2"/>
        <v>October</v>
      </c>
      <c r="Q101" s="3">
        <f t="shared" si="3"/>
        <v>45936</v>
      </c>
      <c r="R101" s="36" t="str" cm="1">
        <f t="array" ref="R101">IFERROR(
  _xlfn.LET(
    _xlpm.cleaned, TRIM(SUBSTITUTE(A101,CHAR(160),"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2" spans="1:18" x14ac:dyDescent="0.25">
      <c r="A102" t="s">
        <v>70</v>
      </c>
      <c r="B102" s="27">
        <v>0.28387731481481482</v>
      </c>
      <c r="C102">
        <v>24</v>
      </c>
      <c r="D102" s="27">
        <v>2.6967592592592594E-3</v>
      </c>
      <c r="E102" s="27">
        <v>6.4699074074074076E-2</v>
      </c>
      <c r="F102">
        <v>0</v>
      </c>
      <c r="G102" s="27">
        <v>0</v>
      </c>
      <c r="H102" s="27">
        <v>0</v>
      </c>
      <c r="I102" s="34">
        <v>65</v>
      </c>
      <c r="J102" s="27">
        <v>7.9861111111111116E-4</v>
      </c>
      <c r="K102" s="35">
        <v>5.1770833333333335E-2</v>
      </c>
      <c r="L102">
        <v>0</v>
      </c>
      <c r="M102" s="27">
        <v>0</v>
      </c>
      <c r="N102" s="35">
        <v>0</v>
      </c>
      <c r="O102" s="3">
        <v>45939</v>
      </c>
      <c r="P102" t="str">
        <f t="shared" si="2"/>
        <v>October</v>
      </c>
      <c r="Q102" s="3">
        <f t="shared" si="3"/>
        <v>45936</v>
      </c>
      <c r="R102" s="36" t="str" cm="1">
        <f t="array" ref="R102">IFERROR(
  _xlfn.LET(
    _xlpm.cleaned, TRIM(SUBSTITUTE(A102,CHAR(160),"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3" spans="1:18" x14ac:dyDescent="0.25">
      <c r="A103" t="s">
        <v>70</v>
      </c>
      <c r="B103" s="27">
        <v>0.32519675925925928</v>
      </c>
      <c r="C103">
        <v>25</v>
      </c>
      <c r="D103" s="27">
        <v>1.9907407407407408E-3</v>
      </c>
      <c r="E103" s="27">
        <v>4.9849537037037039E-2</v>
      </c>
      <c r="F103">
        <v>0</v>
      </c>
      <c r="G103" s="27">
        <v>0</v>
      </c>
      <c r="H103" s="27">
        <v>0</v>
      </c>
      <c r="I103" s="34">
        <v>31</v>
      </c>
      <c r="J103" s="27">
        <v>1.3657407407407407E-3</v>
      </c>
      <c r="K103" s="35">
        <v>4.2326388888888886E-2</v>
      </c>
      <c r="L103">
        <v>0</v>
      </c>
      <c r="M103" s="27">
        <v>0</v>
      </c>
      <c r="N103" s="35">
        <v>0</v>
      </c>
      <c r="O103" s="3">
        <v>45940</v>
      </c>
      <c r="P103" t="str">
        <f t="shared" si="2"/>
        <v>October</v>
      </c>
      <c r="Q103" s="3">
        <f t="shared" si="3"/>
        <v>45936</v>
      </c>
      <c r="R103" s="36" t="str" cm="1">
        <f t="array" ref="R103">IFERROR(
  _xlfn.LET(
    _xlpm.cleaned, TRIM(SUBSTITUTE(A103,CHAR(160),"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4" spans="1:18" x14ac:dyDescent="0.25">
      <c r="A104" t="s">
        <v>70</v>
      </c>
      <c r="B104" s="27">
        <v>0.28491898148148148</v>
      </c>
      <c r="C104">
        <v>43</v>
      </c>
      <c r="D104" s="27">
        <v>2.476851851851852E-3</v>
      </c>
      <c r="E104" s="27">
        <v>0.10642361111111111</v>
      </c>
      <c r="F104">
        <v>0</v>
      </c>
      <c r="G104" s="27">
        <v>0</v>
      </c>
      <c r="H104" s="27">
        <v>0</v>
      </c>
      <c r="I104" s="34">
        <v>28</v>
      </c>
      <c r="J104" s="27">
        <v>1.7361111111111112E-4</v>
      </c>
      <c r="K104" s="35">
        <v>4.7685185185185183E-3</v>
      </c>
      <c r="L104">
        <v>0</v>
      </c>
      <c r="M104" s="27">
        <v>0</v>
      </c>
      <c r="N104" s="35">
        <v>0</v>
      </c>
      <c r="O104" s="3">
        <v>45943</v>
      </c>
      <c r="P104" t="str">
        <f t="shared" si="2"/>
        <v>October</v>
      </c>
      <c r="Q104" s="3">
        <f t="shared" si="3"/>
        <v>45943</v>
      </c>
      <c r="R104" s="36" t="str" cm="1">
        <f t="array" ref="R104">IFERROR(
  _xlfn.LET(
    _xlpm.cleaned, TRIM(SUBSTITUTE(A104,CHAR(160),"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5" spans="1:18" x14ac:dyDescent="0.25">
      <c r="A105" t="s">
        <v>70</v>
      </c>
      <c r="B105" s="27">
        <v>0.20657407407407408</v>
      </c>
      <c r="C105">
        <v>28</v>
      </c>
      <c r="D105" s="27">
        <v>1.9791666666666668E-3</v>
      </c>
      <c r="E105" s="27">
        <v>5.5370370370370368E-2</v>
      </c>
      <c r="F105">
        <v>0</v>
      </c>
      <c r="G105" s="27">
        <v>0</v>
      </c>
      <c r="H105" s="27">
        <v>0</v>
      </c>
      <c r="I105" s="34">
        <v>48</v>
      </c>
      <c r="J105" s="27">
        <v>3.1250000000000001E-4</v>
      </c>
      <c r="K105" s="35">
        <v>1.4791666666666667E-2</v>
      </c>
      <c r="L105">
        <v>2</v>
      </c>
      <c r="M105" s="27">
        <v>3.1018518518518517E-3</v>
      </c>
      <c r="N105" s="35">
        <v>6.1921296296296299E-3</v>
      </c>
      <c r="O105" s="3">
        <v>45944</v>
      </c>
      <c r="P105" t="str">
        <f t="shared" si="2"/>
        <v>October</v>
      </c>
      <c r="Q105" s="3">
        <f t="shared" si="3"/>
        <v>45943</v>
      </c>
      <c r="R105" s="36" t="str" cm="1">
        <f t="array" ref="R105">IFERROR(
  _xlfn.LET(
    _xlpm.cleaned, TRIM(SUBSTITUTE(A105,CHAR(160),"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6" spans="1:18" x14ac:dyDescent="0.25">
      <c r="A106" t="s">
        <v>70</v>
      </c>
      <c r="B106" s="27">
        <v>0.33075231481481482</v>
      </c>
      <c r="C106">
        <v>50</v>
      </c>
      <c r="D106" s="27">
        <v>1.9791666666666668E-3</v>
      </c>
      <c r="E106" s="27">
        <v>9.9108796296296292E-2</v>
      </c>
      <c r="F106">
        <v>1</v>
      </c>
      <c r="G106" s="27">
        <v>6.018518518518519E-4</v>
      </c>
      <c r="H106" s="27">
        <v>6.018518518518519E-4</v>
      </c>
      <c r="I106" s="34">
        <v>50</v>
      </c>
      <c r="J106" s="27">
        <v>2.3148148148148149E-4</v>
      </c>
      <c r="K106" s="35">
        <v>1.150462962962963E-2</v>
      </c>
      <c r="L106">
        <v>4</v>
      </c>
      <c r="M106" s="27">
        <v>1.6203703703703703E-3</v>
      </c>
      <c r="N106" s="35">
        <v>6.5046296296296293E-3</v>
      </c>
      <c r="O106" s="3">
        <v>45945</v>
      </c>
      <c r="P106" t="str">
        <f t="shared" si="2"/>
        <v>October</v>
      </c>
      <c r="Q106" s="3">
        <f t="shared" si="3"/>
        <v>45943</v>
      </c>
      <c r="R106" s="36" t="str" cm="1">
        <f t="array" ref="R106">IFERROR(
  _xlfn.LET(
    _xlpm.cleaned, TRIM(SUBSTITUTE(A106,CHAR(160),"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7" spans="1:18" x14ac:dyDescent="0.25">
      <c r="A107" t="s">
        <v>70</v>
      </c>
      <c r="B107" s="27">
        <v>0.31412037037037038</v>
      </c>
      <c r="C107">
        <v>31</v>
      </c>
      <c r="D107" s="27">
        <v>4.3287037037037035E-3</v>
      </c>
      <c r="E107" s="27">
        <v>0.13434027777777777</v>
      </c>
      <c r="F107">
        <v>2</v>
      </c>
      <c r="G107" s="27">
        <v>0</v>
      </c>
      <c r="H107" s="27">
        <v>0</v>
      </c>
      <c r="I107" s="34">
        <v>55</v>
      </c>
      <c r="J107" s="27">
        <v>9.0277777777777774E-4</v>
      </c>
      <c r="K107" s="35">
        <v>4.9502314814814811E-2</v>
      </c>
      <c r="L107">
        <v>0</v>
      </c>
      <c r="M107" s="27">
        <v>0</v>
      </c>
      <c r="N107" s="35">
        <v>0</v>
      </c>
      <c r="O107" s="3">
        <v>45950</v>
      </c>
      <c r="P107" t="str">
        <f t="shared" si="2"/>
        <v>October</v>
      </c>
      <c r="Q107" s="3">
        <f t="shared" si="3"/>
        <v>45950</v>
      </c>
      <c r="R107" s="36" t="str" cm="1">
        <f t="array" ref="R107">IFERROR(
  _xlfn.LET(
    _xlpm.cleaned, TRIM(SUBSTITUTE(A107,CHAR(160),"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8" spans="1:18" x14ac:dyDescent="0.25">
      <c r="A108" t="s">
        <v>70</v>
      </c>
      <c r="B108" s="27">
        <v>0.33773148148148147</v>
      </c>
      <c r="C108">
        <v>24</v>
      </c>
      <c r="D108" s="27">
        <v>2.9745370370370373E-3</v>
      </c>
      <c r="E108" s="27">
        <v>7.1516203703703707E-2</v>
      </c>
      <c r="F108">
        <v>0</v>
      </c>
      <c r="G108" s="27">
        <v>0</v>
      </c>
      <c r="H108" s="27">
        <v>0</v>
      </c>
      <c r="I108" s="34">
        <v>64</v>
      </c>
      <c r="J108" s="27">
        <v>9.7222222222222219E-4</v>
      </c>
      <c r="K108" s="35">
        <v>6.2395833333333331E-2</v>
      </c>
      <c r="L108">
        <v>0</v>
      </c>
      <c r="M108" s="27">
        <v>0</v>
      </c>
      <c r="N108" s="35">
        <v>0</v>
      </c>
      <c r="O108" s="3">
        <v>45951</v>
      </c>
      <c r="P108" t="str">
        <f t="shared" si="2"/>
        <v>October</v>
      </c>
      <c r="Q108" s="3">
        <f t="shared" si="3"/>
        <v>45950</v>
      </c>
      <c r="R108" s="36" t="str" cm="1">
        <f t="array" ref="R108">IFERROR(
  _xlfn.LET(
    _xlpm.cleaned, TRIM(SUBSTITUTE(A108,CHAR(160),"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09" spans="1:18" x14ac:dyDescent="0.25">
      <c r="A109" t="s">
        <v>70</v>
      </c>
      <c r="B109" s="27">
        <v>0.33605324074074072</v>
      </c>
      <c r="C109">
        <v>28</v>
      </c>
      <c r="D109" s="27">
        <v>2.4189814814814816E-3</v>
      </c>
      <c r="E109" s="27">
        <v>6.7581018518518512E-2</v>
      </c>
      <c r="F109">
        <v>0</v>
      </c>
      <c r="G109" s="27">
        <v>0</v>
      </c>
      <c r="H109" s="27">
        <v>0</v>
      </c>
      <c r="I109" s="34">
        <v>51</v>
      </c>
      <c r="J109" s="27">
        <v>1.2037037037037038E-3</v>
      </c>
      <c r="K109" s="35">
        <v>6.1481481481481484E-2</v>
      </c>
      <c r="L109">
        <v>0</v>
      </c>
      <c r="M109" s="27">
        <v>0</v>
      </c>
      <c r="N109" s="35">
        <v>0</v>
      </c>
      <c r="O109" s="3">
        <v>45952</v>
      </c>
      <c r="P109" t="str">
        <f t="shared" si="2"/>
        <v>October</v>
      </c>
      <c r="Q109" s="3">
        <f t="shared" si="3"/>
        <v>45950</v>
      </c>
      <c r="R109" s="36" t="str" cm="1">
        <f t="array" ref="R109">IFERROR(
  _xlfn.LET(
    _xlpm.cleaned, TRIM(SUBSTITUTE(A109,CHAR(160),"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0" spans="1:18" x14ac:dyDescent="0.25">
      <c r="A110" t="s">
        <v>70</v>
      </c>
      <c r="B110" s="27">
        <v>0.30206018518518518</v>
      </c>
      <c r="C110">
        <v>20</v>
      </c>
      <c r="D110" s="27">
        <v>2.5462962962962965E-3</v>
      </c>
      <c r="E110" s="27">
        <v>5.0937499999999997E-2</v>
      </c>
      <c r="F110">
        <v>0</v>
      </c>
      <c r="G110" s="27">
        <v>0</v>
      </c>
      <c r="H110" s="27">
        <v>0</v>
      </c>
      <c r="I110" s="34">
        <v>41</v>
      </c>
      <c r="J110" s="27">
        <v>1.3194444444444445E-3</v>
      </c>
      <c r="K110" s="35">
        <v>5.3969907407407404E-2</v>
      </c>
      <c r="L110">
        <v>0</v>
      </c>
      <c r="M110" s="27">
        <v>0</v>
      </c>
      <c r="N110" s="35">
        <v>0</v>
      </c>
      <c r="O110" s="3">
        <v>45953</v>
      </c>
      <c r="P110" t="str">
        <f t="shared" si="2"/>
        <v>October</v>
      </c>
      <c r="Q110" s="3">
        <f t="shared" si="3"/>
        <v>45950</v>
      </c>
      <c r="R110" s="36" t="str" cm="1">
        <f t="array" ref="R110">IFERROR(
  _xlfn.LET(
    _xlpm.cleaned, TRIM(SUBSTITUTE(A110,CHAR(160),"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1" spans="1:18" x14ac:dyDescent="0.25">
      <c r="A111" t="s">
        <v>70</v>
      </c>
      <c r="B111" s="27">
        <v>0.32484953703703706</v>
      </c>
      <c r="C111">
        <v>17</v>
      </c>
      <c r="D111" s="27">
        <v>2.0717592592592593E-3</v>
      </c>
      <c r="E111" s="27">
        <v>3.5138888888888886E-2</v>
      </c>
      <c r="F111">
        <v>0</v>
      </c>
      <c r="G111" s="27">
        <v>0</v>
      </c>
      <c r="H111" s="27">
        <v>0</v>
      </c>
      <c r="I111" s="34">
        <v>74</v>
      </c>
      <c r="J111" s="27">
        <v>9.1435185185185185E-4</v>
      </c>
      <c r="K111" s="35">
        <v>6.7766203703703703E-2</v>
      </c>
      <c r="L111">
        <v>0</v>
      </c>
      <c r="M111" s="27">
        <v>0</v>
      </c>
      <c r="N111" s="35">
        <v>0</v>
      </c>
      <c r="O111" s="3">
        <v>45954</v>
      </c>
      <c r="P111" t="str">
        <f t="shared" si="2"/>
        <v>October</v>
      </c>
      <c r="Q111" s="3">
        <f t="shared" si="3"/>
        <v>45950</v>
      </c>
      <c r="R111" s="36" t="str" cm="1">
        <f t="array" ref="R111">IFERROR(
  _xlfn.LET(
    _xlpm.cleaned, TRIM(SUBSTITUTE(A111,CHAR(160),"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2" spans="1:18" x14ac:dyDescent="0.25">
      <c r="A112" t="s">
        <v>70</v>
      </c>
      <c r="B112" s="27">
        <v>0.30459490740740741</v>
      </c>
      <c r="C112">
        <v>23</v>
      </c>
      <c r="D112" s="27">
        <v>2.8124999999999999E-3</v>
      </c>
      <c r="E112" s="27">
        <v>6.4814814814814811E-2</v>
      </c>
      <c r="F112">
        <v>0</v>
      </c>
      <c r="G112" s="27">
        <v>0</v>
      </c>
      <c r="H112" s="27">
        <v>0</v>
      </c>
      <c r="I112" s="34">
        <v>39</v>
      </c>
      <c r="J112" s="27">
        <v>1.3425925925925925E-3</v>
      </c>
      <c r="K112" s="35">
        <v>5.2499999999999998E-2</v>
      </c>
      <c r="L112">
        <v>0</v>
      </c>
      <c r="M112" s="27">
        <v>0</v>
      </c>
      <c r="N112" s="35">
        <v>0</v>
      </c>
      <c r="O112" s="3">
        <v>45957</v>
      </c>
      <c r="P112" t="str">
        <f t="shared" si="2"/>
        <v>October</v>
      </c>
      <c r="Q112" s="3">
        <f t="shared" si="3"/>
        <v>45957</v>
      </c>
      <c r="R112" s="36" t="str" cm="1">
        <f t="array" ref="R112">IFERROR(
  _xlfn.LET(
    _xlpm.cleaned, TRIM(SUBSTITUTE(A112,CHAR(160),"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3" spans="1:18" x14ac:dyDescent="0.25">
      <c r="A113" t="s">
        <v>70</v>
      </c>
      <c r="B113" s="27">
        <v>0.30614583333333334</v>
      </c>
      <c r="C113">
        <v>22</v>
      </c>
      <c r="D113" s="27">
        <v>2.2337962962962962E-3</v>
      </c>
      <c r="E113" s="27">
        <v>4.9212962962962965E-2</v>
      </c>
      <c r="F113">
        <v>1</v>
      </c>
      <c r="G113" s="27">
        <v>1.8749999999999999E-3</v>
      </c>
      <c r="H113" s="27">
        <v>1.8749999999999999E-3</v>
      </c>
      <c r="I113" s="34">
        <v>57</v>
      </c>
      <c r="J113" s="27">
        <v>9.6064814814814819E-4</v>
      </c>
      <c r="K113" s="35">
        <v>5.4722222222222221E-2</v>
      </c>
      <c r="L113">
        <v>0</v>
      </c>
      <c r="M113" s="27">
        <v>0</v>
      </c>
      <c r="N113" s="35">
        <v>0</v>
      </c>
      <c r="O113" s="3">
        <v>45958</v>
      </c>
      <c r="P113" t="str">
        <f t="shared" si="2"/>
        <v>October</v>
      </c>
      <c r="Q113" s="3">
        <f t="shared" si="3"/>
        <v>45957</v>
      </c>
      <c r="R113" s="36" t="str" cm="1">
        <f t="array" ref="R113">IFERROR(
  _xlfn.LET(
    _xlpm.cleaned, TRIM(SUBSTITUTE(A113,CHAR(160),"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4" spans="1:18" x14ac:dyDescent="0.25">
      <c r="A114" t="s">
        <v>70</v>
      </c>
      <c r="B114" s="27">
        <v>0.3263888888888889</v>
      </c>
      <c r="C114">
        <v>26</v>
      </c>
      <c r="D114" s="27">
        <v>2.0833333333333333E-3</v>
      </c>
      <c r="E114" s="27">
        <v>5.4027777777777779E-2</v>
      </c>
      <c r="F114">
        <v>0</v>
      </c>
      <c r="G114" s="27">
        <v>0</v>
      </c>
      <c r="H114" s="27">
        <v>0</v>
      </c>
      <c r="I114" s="34">
        <v>71</v>
      </c>
      <c r="J114" s="27">
        <v>6.134259259259259E-4</v>
      </c>
      <c r="K114" s="35">
        <v>4.3287037037037034E-2</v>
      </c>
      <c r="L114">
        <v>0</v>
      </c>
      <c r="M114" s="27">
        <v>0</v>
      </c>
      <c r="N114" s="35">
        <v>0</v>
      </c>
      <c r="O114" s="3">
        <v>45959</v>
      </c>
      <c r="P114" t="str">
        <f t="shared" si="2"/>
        <v>October</v>
      </c>
      <c r="Q114" s="3">
        <f t="shared" si="3"/>
        <v>45957</v>
      </c>
      <c r="R114" s="36" t="str" cm="1">
        <f t="array" ref="R114">IFERROR(
  _xlfn.LET(
    _xlpm.cleaned, TRIM(SUBSTITUTE(A114,CHAR(160),"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5" spans="1:18" x14ac:dyDescent="0.25">
      <c r="A115" t="s">
        <v>70</v>
      </c>
      <c r="B115" s="27">
        <v>0.3090162037037037</v>
      </c>
      <c r="C115">
        <v>14</v>
      </c>
      <c r="D115" s="27">
        <v>3.0092592592592593E-3</v>
      </c>
      <c r="E115" s="27">
        <v>4.2164351851851849E-2</v>
      </c>
      <c r="F115">
        <v>0</v>
      </c>
      <c r="G115" s="27">
        <v>0</v>
      </c>
      <c r="H115" s="27">
        <v>0</v>
      </c>
      <c r="I115" s="34">
        <v>42</v>
      </c>
      <c r="J115" s="27">
        <v>1.1342592592592593E-3</v>
      </c>
      <c r="K115" s="35">
        <v>4.7766203703703707E-2</v>
      </c>
      <c r="L115">
        <v>0</v>
      </c>
      <c r="M115" s="27">
        <v>0</v>
      </c>
      <c r="N115" s="35">
        <v>0</v>
      </c>
      <c r="O115" s="3">
        <v>45960</v>
      </c>
      <c r="P115" t="str">
        <f t="shared" si="2"/>
        <v>October</v>
      </c>
      <c r="Q115" s="3">
        <f t="shared" si="3"/>
        <v>45957</v>
      </c>
      <c r="R115" s="36" t="str" cm="1">
        <f t="array" ref="R115">IFERROR(
  _xlfn.LET(
    _xlpm.cleaned, TRIM(SUBSTITUTE(A115,CHAR(160),"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6" spans="1:18" x14ac:dyDescent="0.25">
      <c r="A116" t="s">
        <v>70</v>
      </c>
      <c r="B116" s="27">
        <v>0.34082175925925928</v>
      </c>
      <c r="C116">
        <v>16</v>
      </c>
      <c r="D116" s="27">
        <v>1.6782407407407408E-3</v>
      </c>
      <c r="E116" s="27">
        <v>2.6921296296296297E-2</v>
      </c>
      <c r="F116">
        <v>0</v>
      </c>
      <c r="G116" s="27">
        <v>0</v>
      </c>
      <c r="H116" s="27">
        <v>0</v>
      </c>
      <c r="I116" s="34">
        <v>46</v>
      </c>
      <c r="J116" s="27">
        <v>1.7824074074074075E-3</v>
      </c>
      <c r="K116" s="35">
        <v>8.1921296296296298E-2</v>
      </c>
      <c r="L116">
        <v>0</v>
      </c>
      <c r="M116" s="27">
        <v>0</v>
      </c>
      <c r="N116" s="35">
        <v>0</v>
      </c>
      <c r="O116" s="3">
        <v>45961</v>
      </c>
      <c r="P116" t="str">
        <f t="shared" si="2"/>
        <v>October</v>
      </c>
      <c r="Q116" s="3">
        <f t="shared" si="3"/>
        <v>45957</v>
      </c>
      <c r="R116" s="36" t="str" cm="1">
        <f t="array" ref="R116">IFERROR(
  _xlfn.LET(
    _xlpm.cleaned, TRIM(SUBSTITUTE(A116,CHAR(160),"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7" spans="1:18" x14ac:dyDescent="0.25">
      <c r="A117" t="s">
        <v>70</v>
      </c>
      <c r="B117" s="27">
        <v>0.31085648148148148</v>
      </c>
      <c r="C117">
        <v>23</v>
      </c>
      <c r="D117" s="27">
        <v>2.3148148148148147E-3</v>
      </c>
      <c r="E117" s="27">
        <v>5.3113425925925925E-2</v>
      </c>
      <c r="F117">
        <v>0</v>
      </c>
      <c r="G117" s="27">
        <v>0</v>
      </c>
      <c r="H117" s="27">
        <v>0</v>
      </c>
      <c r="I117" s="34">
        <v>58</v>
      </c>
      <c r="J117" s="27">
        <v>7.8703703703703705E-4</v>
      </c>
      <c r="K117" s="35">
        <v>4.5474537037037036E-2</v>
      </c>
      <c r="L117">
        <v>0</v>
      </c>
      <c r="M117" s="27">
        <v>0</v>
      </c>
      <c r="N117" s="35">
        <v>0</v>
      </c>
      <c r="O117" s="3">
        <v>45964</v>
      </c>
      <c r="P117" t="str">
        <f t="shared" si="2"/>
        <v>November</v>
      </c>
      <c r="Q117" s="3">
        <f t="shared" si="3"/>
        <v>45964</v>
      </c>
      <c r="R117" s="36" t="str" cm="1">
        <f t="array" ref="R117">IFERROR(
  _xlfn.LET(
    _xlpm.cleaned, TRIM(SUBSTITUTE(A117,CHAR(160),"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8" spans="1:18" x14ac:dyDescent="0.25">
      <c r="A118" t="s">
        <v>70</v>
      </c>
      <c r="B118" s="27">
        <v>0.30686342592592591</v>
      </c>
      <c r="C118">
        <v>28</v>
      </c>
      <c r="D118" s="27">
        <v>2.0717592592592593E-3</v>
      </c>
      <c r="E118" s="27">
        <v>5.8125000000000003E-2</v>
      </c>
      <c r="F118">
        <v>0</v>
      </c>
      <c r="G118" s="27">
        <v>0</v>
      </c>
      <c r="H118" s="27">
        <v>0</v>
      </c>
      <c r="I118" s="34">
        <v>41</v>
      </c>
      <c r="J118" s="27">
        <v>1.0069444444444444E-3</v>
      </c>
      <c r="K118" s="35">
        <v>4.1250000000000002E-2</v>
      </c>
      <c r="L118">
        <v>0</v>
      </c>
      <c r="M118" s="27">
        <v>0</v>
      </c>
      <c r="N118" s="35">
        <v>0</v>
      </c>
      <c r="O118" s="3">
        <v>45965</v>
      </c>
      <c r="P118" t="str">
        <f t="shared" si="2"/>
        <v>November</v>
      </c>
      <c r="Q118" s="3">
        <f t="shared" si="3"/>
        <v>45964</v>
      </c>
      <c r="R118" s="36" t="str" cm="1">
        <f t="array" ref="R118">IFERROR(
  _xlfn.LET(
    _xlpm.cleaned, TRIM(SUBSTITUTE(A118,CHAR(160),"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19" spans="1:18" x14ac:dyDescent="0.25">
      <c r="A119" t="s">
        <v>70</v>
      </c>
      <c r="B119" s="27">
        <v>0.30496527777777777</v>
      </c>
      <c r="C119">
        <v>23</v>
      </c>
      <c r="D119" s="27">
        <v>2.1180555555555558E-3</v>
      </c>
      <c r="E119" s="27">
        <v>4.8738425925925928E-2</v>
      </c>
      <c r="F119">
        <v>0</v>
      </c>
      <c r="G119" s="27">
        <v>0</v>
      </c>
      <c r="H119" s="27">
        <v>0</v>
      </c>
      <c r="I119" s="34">
        <v>36</v>
      </c>
      <c r="J119" s="27">
        <v>1.1921296296296296E-3</v>
      </c>
      <c r="K119" s="35">
        <v>4.3067129629629629E-2</v>
      </c>
      <c r="L119">
        <v>0</v>
      </c>
      <c r="M119" s="27">
        <v>0</v>
      </c>
      <c r="N119" s="35">
        <v>0</v>
      </c>
      <c r="O119" s="3">
        <v>45966</v>
      </c>
      <c r="P119" t="str">
        <f t="shared" si="2"/>
        <v>November</v>
      </c>
      <c r="Q119" s="3">
        <f t="shared" si="3"/>
        <v>45964</v>
      </c>
      <c r="R119" s="36" t="str" cm="1">
        <f t="array" ref="R119">IFERROR(
  _xlfn.LET(
    _xlpm.cleaned, TRIM(SUBSTITUTE(A119,CHAR(160),"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20" spans="1:18" x14ac:dyDescent="0.25">
      <c r="A120" t="s">
        <v>70</v>
      </c>
      <c r="B120" s="27">
        <v>0.31311342592592595</v>
      </c>
      <c r="C120">
        <v>23</v>
      </c>
      <c r="D120" s="27">
        <v>2.7314814814814814E-3</v>
      </c>
      <c r="E120" s="27">
        <v>6.293981481481481E-2</v>
      </c>
      <c r="F120">
        <v>0</v>
      </c>
      <c r="G120" s="27">
        <v>0</v>
      </c>
      <c r="H120" s="27">
        <v>0</v>
      </c>
      <c r="I120" s="34">
        <v>48</v>
      </c>
      <c r="J120" s="27">
        <v>1.3657407407407407E-3</v>
      </c>
      <c r="K120" s="35">
        <v>6.5694444444444444E-2</v>
      </c>
      <c r="L120">
        <v>0</v>
      </c>
      <c r="M120" s="27">
        <v>0</v>
      </c>
      <c r="N120" s="35">
        <v>0</v>
      </c>
      <c r="O120" s="3">
        <v>45967</v>
      </c>
      <c r="P120" t="str">
        <f t="shared" si="2"/>
        <v>November</v>
      </c>
      <c r="Q120" s="3">
        <f t="shared" si="3"/>
        <v>45964</v>
      </c>
      <c r="R120" s="36" t="str" cm="1">
        <f t="array" ref="R120">IFERROR(
  _xlfn.LET(
    _xlpm.cleaned, TRIM(SUBSTITUTE(A120,CHAR(160),"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121" spans="1:18" x14ac:dyDescent="0.25">
      <c r="A121" t="s">
        <v>71</v>
      </c>
      <c r="B121" s="27">
        <v>0.3654513888888889</v>
      </c>
      <c r="C121">
        <v>13</v>
      </c>
      <c r="D121" s="27">
        <v>1.7592592592592592E-3</v>
      </c>
      <c r="E121" s="27">
        <v>2.2835648148148147E-2</v>
      </c>
      <c r="F121">
        <v>0</v>
      </c>
      <c r="G121" s="27">
        <v>0</v>
      </c>
      <c r="H121" s="27">
        <v>0</v>
      </c>
      <c r="I121" s="34">
        <v>35</v>
      </c>
      <c r="J121" s="27">
        <v>4.9537037037037041E-3</v>
      </c>
      <c r="K121" s="35">
        <v>0.17322916666666666</v>
      </c>
      <c r="L121">
        <v>1</v>
      </c>
      <c r="M121" s="27">
        <v>1.7546296296296296E-2</v>
      </c>
      <c r="N121" s="35">
        <v>1.7546296296296296E-2</v>
      </c>
      <c r="O121" s="3">
        <v>45931</v>
      </c>
      <c r="P121" t="str">
        <f t="shared" si="2"/>
        <v>October</v>
      </c>
      <c r="Q121" s="3">
        <f t="shared" si="3"/>
        <v>45929</v>
      </c>
      <c r="R121" s="36" t="str" cm="1">
        <f t="array" ref="R121">IFERROR(
  _xlfn.LET(
    _xlpm.cleaned, TRIM(SUBSTITUTE(A121,CHAR(160),"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2" spans="1:18" x14ac:dyDescent="0.25">
      <c r="A122" t="s">
        <v>71</v>
      </c>
      <c r="B122" s="27">
        <v>0.32261574074074073</v>
      </c>
      <c r="C122">
        <v>8</v>
      </c>
      <c r="D122" s="27">
        <v>1.25E-3</v>
      </c>
      <c r="E122" s="27">
        <v>9.9768518518518513E-3</v>
      </c>
      <c r="F122">
        <v>0</v>
      </c>
      <c r="G122" s="27">
        <v>0</v>
      </c>
      <c r="H122" s="27">
        <v>0</v>
      </c>
      <c r="I122" s="34">
        <v>24</v>
      </c>
      <c r="J122" s="27">
        <v>8.1597222222222227E-3</v>
      </c>
      <c r="K122" s="35">
        <v>0.1957986111111111</v>
      </c>
      <c r="L122">
        <v>0</v>
      </c>
      <c r="M122" s="27">
        <v>0</v>
      </c>
      <c r="N122" s="35">
        <v>0</v>
      </c>
      <c r="O122" s="3">
        <v>45932</v>
      </c>
      <c r="P122" t="str">
        <f t="shared" si="2"/>
        <v>October</v>
      </c>
      <c r="Q122" s="3">
        <f t="shared" si="3"/>
        <v>45929</v>
      </c>
      <c r="R122" s="36" t="str" cm="1">
        <f t="array" ref="R122">IFERROR(
  _xlfn.LET(
    _xlpm.cleaned, TRIM(SUBSTITUTE(A122,CHAR(160),"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3" spans="1:18" x14ac:dyDescent="0.25">
      <c r="A123" t="s">
        <v>71</v>
      </c>
      <c r="B123" s="27">
        <v>0.32394675925925925</v>
      </c>
      <c r="C123">
        <v>20</v>
      </c>
      <c r="D123" s="27">
        <v>1.5856481481481481E-3</v>
      </c>
      <c r="E123" s="27">
        <v>3.1678240740740743E-2</v>
      </c>
      <c r="F123">
        <v>0</v>
      </c>
      <c r="G123" s="27">
        <v>0</v>
      </c>
      <c r="H123" s="27">
        <v>0</v>
      </c>
      <c r="I123" s="34">
        <v>38</v>
      </c>
      <c r="J123" s="27">
        <v>3.8888888888888888E-3</v>
      </c>
      <c r="K123" s="35">
        <v>0.14758101851851851</v>
      </c>
      <c r="L123">
        <v>1</v>
      </c>
      <c r="M123" s="27">
        <v>0</v>
      </c>
      <c r="N123" s="35">
        <v>0</v>
      </c>
      <c r="O123" s="3">
        <v>45933</v>
      </c>
      <c r="P123" t="str">
        <f t="shared" si="2"/>
        <v>October</v>
      </c>
      <c r="Q123" s="3">
        <f t="shared" si="3"/>
        <v>45929</v>
      </c>
      <c r="R123" s="36" t="str" cm="1">
        <f t="array" ref="R123">IFERROR(
  _xlfn.LET(
    _xlpm.cleaned, TRIM(SUBSTITUTE(A123,CHAR(160),"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4" spans="1:18" x14ac:dyDescent="0.25">
      <c r="A124" t="s">
        <v>71</v>
      </c>
      <c r="B124" s="27">
        <v>0.32394675925925925</v>
      </c>
      <c r="C124">
        <v>15</v>
      </c>
      <c r="D124" s="27">
        <v>2.7430555555555554E-3</v>
      </c>
      <c r="E124" s="27">
        <v>4.1157407407407406E-2</v>
      </c>
      <c r="F124">
        <v>1</v>
      </c>
      <c r="G124" s="27">
        <v>6.053240740740741E-3</v>
      </c>
      <c r="H124" s="27">
        <v>6.053240740740741E-3</v>
      </c>
      <c r="I124" s="34">
        <v>31</v>
      </c>
      <c r="J124" s="27">
        <v>6.5509259259259262E-3</v>
      </c>
      <c r="K124" s="35">
        <v>0.20310185185185184</v>
      </c>
      <c r="L124">
        <v>0</v>
      </c>
      <c r="M124" s="27">
        <v>0</v>
      </c>
      <c r="N124" s="35">
        <v>0</v>
      </c>
      <c r="O124" s="3">
        <v>45936</v>
      </c>
      <c r="P124" t="str">
        <f t="shared" si="2"/>
        <v>October</v>
      </c>
      <c r="Q124" s="3">
        <f t="shared" si="3"/>
        <v>45936</v>
      </c>
      <c r="R124" s="36" t="str" cm="1">
        <f t="array" ref="R124">IFERROR(
  _xlfn.LET(
    _xlpm.cleaned, TRIM(SUBSTITUTE(A124,CHAR(160),"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5" spans="1:18" x14ac:dyDescent="0.25">
      <c r="A125" t="s">
        <v>71</v>
      </c>
      <c r="B125" s="27">
        <v>0.59599537037037043</v>
      </c>
      <c r="C125">
        <v>11</v>
      </c>
      <c r="D125" s="27">
        <v>1.6898148148148148E-3</v>
      </c>
      <c r="E125" s="27">
        <v>1.863425925925926E-2</v>
      </c>
      <c r="F125">
        <v>0</v>
      </c>
      <c r="G125" s="27">
        <v>0</v>
      </c>
      <c r="H125" s="27">
        <v>0</v>
      </c>
      <c r="I125" s="34">
        <v>33</v>
      </c>
      <c r="J125" s="27">
        <v>5.5671296296296293E-3</v>
      </c>
      <c r="K125" s="35">
        <v>0.18353009259259259</v>
      </c>
      <c r="L125">
        <v>1</v>
      </c>
      <c r="M125" s="27">
        <v>8.8078703703703704E-3</v>
      </c>
      <c r="N125" s="35">
        <v>8.8078703703703704E-3</v>
      </c>
      <c r="O125" s="3">
        <v>45937</v>
      </c>
      <c r="P125" t="str">
        <f t="shared" si="2"/>
        <v>October</v>
      </c>
      <c r="Q125" s="3">
        <f t="shared" si="3"/>
        <v>45936</v>
      </c>
      <c r="R125" s="36" t="str" cm="1">
        <f t="array" ref="R125">IFERROR(
  _xlfn.LET(
    _xlpm.cleaned, TRIM(SUBSTITUTE(A125,CHAR(160),"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6" spans="1:18" x14ac:dyDescent="0.25">
      <c r="A126" t="s">
        <v>71</v>
      </c>
      <c r="B126" s="27">
        <v>0.63990740740740737</v>
      </c>
      <c r="C126">
        <v>22</v>
      </c>
      <c r="D126" s="27">
        <v>2.1180555555555558E-3</v>
      </c>
      <c r="E126" s="27">
        <v>4.6539351851851853E-2</v>
      </c>
      <c r="F126">
        <v>1</v>
      </c>
      <c r="G126" s="27">
        <v>2.1759259259259258E-3</v>
      </c>
      <c r="H126" s="27">
        <v>2.1759259259259258E-3</v>
      </c>
      <c r="I126" s="34">
        <v>63</v>
      </c>
      <c r="J126" s="27">
        <v>1.5972222222222223E-3</v>
      </c>
      <c r="K126" s="35">
        <v>0.1004513888888889</v>
      </c>
      <c r="L126">
        <v>3</v>
      </c>
      <c r="M126" s="27">
        <v>2.6967592592592594E-3</v>
      </c>
      <c r="N126" s="35">
        <v>8.0787037037037043E-3</v>
      </c>
      <c r="O126" s="3">
        <v>45938</v>
      </c>
      <c r="P126" t="str">
        <f t="shared" si="2"/>
        <v>October</v>
      </c>
      <c r="Q126" s="3">
        <f t="shared" si="3"/>
        <v>45936</v>
      </c>
      <c r="R126" s="36" t="str" cm="1">
        <f t="array" ref="R126">IFERROR(
  _xlfn.LET(
    _xlpm.cleaned, TRIM(SUBSTITUTE(A126,CHAR(160),"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7" spans="1:18" x14ac:dyDescent="0.25">
      <c r="A127" t="s">
        <v>71</v>
      </c>
      <c r="B127" s="27">
        <v>0.29961805555555554</v>
      </c>
      <c r="C127">
        <v>18</v>
      </c>
      <c r="D127" s="27">
        <v>2.2453703703703702E-3</v>
      </c>
      <c r="E127" s="27">
        <v>4.0358796296296295E-2</v>
      </c>
      <c r="F127">
        <v>1</v>
      </c>
      <c r="G127" s="27">
        <v>2.7546296296296294E-3</v>
      </c>
      <c r="H127" s="27">
        <v>2.7546296296296294E-3</v>
      </c>
      <c r="I127" s="34">
        <v>43</v>
      </c>
      <c r="J127" s="27">
        <v>2.8703703703703703E-3</v>
      </c>
      <c r="K127" s="35">
        <v>0.12347222222222222</v>
      </c>
      <c r="L127">
        <v>1</v>
      </c>
      <c r="M127" s="27">
        <v>1.9837962962962963E-2</v>
      </c>
      <c r="N127" s="35">
        <v>1.9837962962962963E-2</v>
      </c>
      <c r="O127" s="3">
        <v>45939</v>
      </c>
      <c r="P127" t="str">
        <f t="shared" si="2"/>
        <v>October</v>
      </c>
      <c r="Q127" s="3">
        <f t="shared" si="3"/>
        <v>45936</v>
      </c>
      <c r="R127" s="36" t="str" cm="1">
        <f t="array" ref="R127">IFERROR(
  _xlfn.LET(
    _xlpm.cleaned, TRIM(SUBSTITUTE(A127,CHAR(160),"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8" spans="1:18" x14ac:dyDescent="0.25">
      <c r="A128" t="s">
        <v>71</v>
      </c>
      <c r="B128" s="27">
        <v>0.32672453703703702</v>
      </c>
      <c r="C128">
        <v>9</v>
      </c>
      <c r="D128" s="27">
        <v>1.6435185185185185E-3</v>
      </c>
      <c r="E128" s="27">
        <v>1.4756944444444444E-2</v>
      </c>
      <c r="F128">
        <v>0</v>
      </c>
      <c r="G128" s="27">
        <v>0</v>
      </c>
      <c r="H128" s="27">
        <v>0</v>
      </c>
      <c r="I128" s="34">
        <v>35</v>
      </c>
      <c r="J128" s="27">
        <v>6.053240740740741E-3</v>
      </c>
      <c r="K128" s="35">
        <v>0.21197916666666666</v>
      </c>
      <c r="L128">
        <v>0</v>
      </c>
      <c r="M128" s="27">
        <v>0</v>
      </c>
      <c r="N128" s="35">
        <v>0</v>
      </c>
      <c r="O128" s="3">
        <v>45940</v>
      </c>
      <c r="P128" t="str">
        <f t="shared" si="2"/>
        <v>October</v>
      </c>
      <c r="Q128" s="3">
        <f t="shared" si="3"/>
        <v>45936</v>
      </c>
      <c r="R128" s="36" t="str" cm="1">
        <f t="array" ref="R128">IFERROR(
  _xlfn.LET(
    _xlpm.cleaned, TRIM(SUBSTITUTE(A128,CHAR(160),"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29" spans="1:18" x14ac:dyDescent="0.25">
      <c r="A129" t="s">
        <v>71</v>
      </c>
      <c r="B129" s="27">
        <v>0.33825231481481483</v>
      </c>
      <c r="C129">
        <v>19</v>
      </c>
      <c r="D129" s="27">
        <v>2.1990740740740742E-3</v>
      </c>
      <c r="E129" s="27">
        <v>4.1782407407407407E-2</v>
      </c>
      <c r="F129">
        <v>0</v>
      </c>
      <c r="G129" s="27">
        <v>0</v>
      </c>
      <c r="H129" s="27">
        <v>0</v>
      </c>
      <c r="I129" s="34">
        <v>50</v>
      </c>
      <c r="J129" s="27">
        <v>3.3333333333333335E-3</v>
      </c>
      <c r="K129" s="35">
        <v>0.16663194444444446</v>
      </c>
      <c r="L129">
        <v>0</v>
      </c>
      <c r="M129" s="27">
        <v>0</v>
      </c>
      <c r="N129" s="35">
        <v>0</v>
      </c>
      <c r="O129" s="3">
        <v>45943</v>
      </c>
      <c r="P129" t="str">
        <f t="shared" si="2"/>
        <v>October</v>
      </c>
      <c r="Q129" s="3">
        <f t="shared" si="3"/>
        <v>45943</v>
      </c>
      <c r="R129" s="36" t="str" cm="1">
        <f t="array" ref="R129">IFERROR(
  _xlfn.LET(
    _xlpm.cleaned, TRIM(SUBSTITUTE(A129,CHAR(160),"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0" spans="1:18" x14ac:dyDescent="0.25">
      <c r="A130" t="s">
        <v>71</v>
      </c>
      <c r="B130" s="27">
        <v>0.291875</v>
      </c>
      <c r="C130">
        <v>12</v>
      </c>
      <c r="D130" s="27">
        <v>2.638888888888889E-3</v>
      </c>
      <c r="E130" s="27">
        <v>3.1631944444444442E-2</v>
      </c>
      <c r="F130">
        <v>1</v>
      </c>
      <c r="G130" s="27">
        <v>3.7037037037037035E-4</v>
      </c>
      <c r="H130" s="27">
        <v>3.7037037037037035E-4</v>
      </c>
      <c r="I130" s="34">
        <v>38</v>
      </c>
      <c r="J130" s="27">
        <v>3.5300925925925925E-3</v>
      </c>
      <c r="K130" s="35">
        <v>0.13402777777777777</v>
      </c>
      <c r="L130">
        <v>0</v>
      </c>
      <c r="M130" s="27">
        <v>0</v>
      </c>
      <c r="N130" s="35">
        <v>0</v>
      </c>
      <c r="O130" s="3">
        <v>45944</v>
      </c>
      <c r="P130" t="str">
        <f t="shared" si="2"/>
        <v>October</v>
      </c>
      <c r="Q130" s="3">
        <f t="shared" si="3"/>
        <v>45943</v>
      </c>
      <c r="R130" s="36" t="str" cm="1">
        <f t="array" ref="R130">IFERROR(
  _xlfn.LET(
    _xlpm.cleaned, TRIM(SUBSTITUTE(A130,CHAR(160),"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1" spans="1:18" x14ac:dyDescent="0.25">
      <c r="A131" t="s">
        <v>71</v>
      </c>
      <c r="B131" s="27">
        <v>0.33012731481481483</v>
      </c>
      <c r="C131">
        <v>7</v>
      </c>
      <c r="D131" s="27">
        <v>2.0949074074074073E-3</v>
      </c>
      <c r="E131" s="27">
        <v>1.4664351851851852E-2</v>
      </c>
      <c r="F131">
        <v>0</v>
      </c>
      <c r="G131" s="27">
        <v>0</v>
      </c>
      <c r="H131" s="27">
        <v>0</v>
      </c>
      <c r="I131" s="34">
        <v>39</v>
      </c>
      <c r="J131" s="27">
        <v>3.3796296296296296E-3</v>
      </c>
      <c r="K131" s="35">
        <v>0.13185185185185186</v>
      </c>
      <c r="L131">
        <v>4</v>
      </c>
      <c r="M131" s="27">
        <v>7.5694444444444446E-3</v>
      </c>
      <c r="N131" s="35">
        <v>3.0266203703703705E-2</v>
      </c>
      <c r="O131" s="3">
        <v>45945</v>
      </c>
      <c r="P131" t="str">
        <f t="shared" si="2"/>
        <v>October</v>
      </c>
      <c r="Q131" s="3">
        <f t="shared" si="3"/>
        <v>45943</v>
      </c>
      <c r="R131" s="36" t="str" cm="1">
        <f t="array" ref="R131">IFERROR(
  _xlfn.LET(
    _xlpm.cleaned, TRIM(SUBSTITUTE(A131,CHAR(160),"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2" spans="1:18" x14ac:dyDescent="0.25">
      <c r="A132" t="s">
        <v>71</v>
      </c>
      <c r="B132" s="27">
        <v>0.29622685185185182</v>
      </c>
      <c r="C132">
        <v>13</v>
      </c>
      <c r="D132" s="27">
        <v>2.1875000000000002E-3</v>
      </c>
      <c r="E132" s="27">
        <v>2.8391203703703703E-2</v>
      </c>
      <c r="F132">
        <v>0</v>
      </c>
      <c r="G132" s="27">
        <v>0</v>
      </c>
      <c r="H132" s="27">
        <v>0</v>
      </c>
      <c r="I132" s="34">
        <v>32</v>
      </c>
      <c r="J132" s="27">
        <v>5.9143518518518521E-3</v>
      </c>
      <c r="K132" s="35">
        <v>0.18910879629629629</v>
      </c>
      <c r="L132">
        <v>2</v>
      </c>
      <c r="M132" s="27">
        <v>4.6412037037037038E-3</v>
      </c>
      <c r="N132" s="35">
        <v>9.2824074074074076E-3</v>
      </c>
      <c r="O132" s="3">
        <v>45946</v>
      </c>
      <c r="P132" t="str">
        <f t="shared" ref="P132:P195" si="4">TEXT(O132,"mmmm")</f>
        <v>October</v>
      </c>
      <c r="Q132" s="3">
        <f t="shared" ref="Q132:Q195" si="5">O132-WEEKDAY(O132,1)+2</f>
        <v>45943</v>
      </c>
      <c r="R132" s="36" t="str" cm="1">
        <f t="array" ref="R132">IFERROR(
  _xlfn.LET(
    _xlpm.cleaned, TRIM(SUBSTITUTE(A132,CHAR(160),"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3" spans="1:18" x14ac:dyDescent="0.25">
      <c r="A133" t="s">
        <v>71</v>
      </c>
      <c r="B133" s="27">
        <v>0.35</v>
      </c>
      <c r="C133">
        <v>16</v>
      </c>
      <c r="D133" s="27">
        <v>1.8055555555555555E-3</v>
      </c>
      <c r="E133" s="27">
        <v>2.886574074074074E-2</v>
      </c>
      <c r="F133">
        <v>0</v>
      </c>
      <c r="G133" s="27">
        <v>0</v>
      </c>
      <c r="H133" s="27">
        <v>0</v>
      </c>
      <c r="I133" s="34">
        <v>29</v>
      </c>
      <c r="J133" s="27">
        <v>8.1712962962962963E-3</v>
      </c>
      <c r="K133" s="35">
        <v>0.23682870370370371</v>
      </c>
      <c r="L133">
        <v>0</v>
      </c>
      <c r="M133" s="27">
        <v>0</v>
      </c>
      <c r="N133" s="35">
        <v>0</v>
      </c>
      <c r="O133" s="3">
        <v>45947</v>
      </c>
      <c r="P133" t="str">
        <f t="shared" si="4"/>
        <v>October</v>
      </c>
      <c r="Q133" s="3">
        <f t="shared" si="5"/>
        <v>45943</v>
      </c>
      <c r="R133" s="36" t="str" cm="1">
        <f t="array" ref="R133">IFERROR(
  _xlfn.LET(
    _xlpm.cleaned, TRIM(SUBSTITUTE(A133,CHAR(160),"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4" spans="1:18" x14ac:dyDescent="0.25">
      <c r="A134" t="s">
        <v>71</v>
      </c>
      <c r="B134" s="27">
        <v>0.32746527777777779</v>
      </c>
      <c r="C134">
        <v>12</v>
      </c>
      <c r="D134" s="27">
        <v>2.9282407407407408E-3</v>
      </c>
      <c r="E134" s="27">
        <v>3.5081018518518518E-2</v>
      </c>
      <c r="F134">
        <v>0</v>
      </c>
      <c r="G134" s="27">
        <v>0</v>
      </c>
      <c r="H134" s="27">
        <v>0</v>
      </c>
      <c r="I134" s="34">
        <v>20</v>
      </c>
      <c r="J134" s="27">
        <v>1.2546296296296297E-2</v>
      </c>
      <c r="K134" s="35">
        <v>0.25081018518518516</v>
      </c>
      <c r="L134">
        <v>0</v>
      </c>
      <c r="M134" s="27">
        <v>0</v>
      </c>
      <c r="N134" s="35">
        <v>0</v>
      </c>
      <c r="O134" s="3">
        <v>45950</v>
      </c>
      <c r="P134" t="str">
        <f t="shared" si="4"/>
        <v>October</v>
      </c>
      <c r="Q134" s="3">
        <f t="shared" si="5"/>
        <v>45950</v>
      </c>
      <c r="R134" s="36" t="str" cm="1">
        <f t="array" ref="R134">IFERROR(
  _xlfn.LET(
    _xlpm.cleaned, TRIM(SUBSTITUTE(A134,CHAR(160),"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5" spans="1:18" x14ac:dyDescent="0.25">
      <c r="A135" t="s">
        <v>71</v>
      </c>
      <c r="B135" s="27">
        <v>0.31660879629629629</v>
      </c>
      <c r="C135">
        <v>14</v>
      </c>
      <c r="D135" s="27">
        <v>1.6666666666666668E-3</v>
      </c>
      <c r="E135" s="27">
        <v>2.3368055555555555E-2</v>
      </c>
      <c r="F135">
        <v>0</v>
      </c>
      <c r="G135" s="27">
        <v>0</v>
      </c>
      <c r="H135" s="27">
        <v>0</v>
      </c>
      <c r="I135" s="34">
        <v>49</v>
      </c>
      <c r="J135" s="27">
        <v>1.4004629629629629E-3</v>
      </c>
      <c r="K135" s="35">
        <v>6.8402777777777785E-2</v>
      </c>
      <c r="L135">
        <v>5</v>
      </c>
      <c r="M135" s="27">
        <v>1.2986111111111111E-2</v>
      </c>
      <c r="N135" s="35">
        <v>6.4930555555555561E-2</v>
      </c>
      <c r="O135" s="3">
        <v>45951</v>
      </c>
      <c r="P135" t="str">
        <f t="shared" si="4"/>
        <v>October</v>
      </c>
      <c r="Q135" s="3">
        <f t="shared" si="5"/>
        <v>45950</v>
      </c>
      <c r="R135" s="36" t="str" cm="1">
        <f t="array" ref="R135">IFERROR(
  _xlfn.LET(
    _xlpm.cleaned, TRIM(SUBSTITUTE(A135,CHAR(160),"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6" spans="1:18" x14ac:dyDescent="0.25">
      <c r="A136" t="s">
        <v>71</v>
      </c>
      <c r="B136" s="27">
        <v>0.10275462962962963</v>
      </c>
      <c r="C136">
        <v>4</v>
      </c>
      <c r="D136" s="27">
        <v>1.3888888888888889E-3</v>
      </c>
      <c r="E136" s="27">
        <v>5.5439814814814813E-3</v>
      </c>
      <c r="F136">
        <v>0</v>
      </c>
      <c r="G136" s="27">
        <v>0</v>
      </c>
      <c r="H136" s="27">
        <v>0</v>
      </c>
      <c r="I136" s="34">
        <v>21</v>
      </c>
      <c r="J136" s="27">
        <v>2.3611111111111111E-3</v>
      </c>
      <c r="K136" s="35">
        <v>4.9606481481481481E-2</v>
      </c>
      <c r="L136">
        <v>0</v>
      </c>
      <c r="M136" s="27">
        <v>0</v>
      </c>
      <c r="N136" s="35">
        <v>0</v>
      </c>
      <c r="O136" s="3">
        <v>45952</v>
      </c>
      <c r="P136" t="str">
        <f t="shared" si="4"/>
        <v>October</v>
      </c>
      <c r="Q136" s="3">
        <f t="shared" si="5"/>
        <v>45950</v>
      </c>
      <c r="R136" s="36" t="str" cm="1">
        <f t="array" ref="R136">IFERROR(
  _xlfn.LET(
    _xlpm.cleaned, TRIM(SUBSTITUTE(A136,CHAR(160),"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7" spans="1:18" x14ac:dyDescent="0.25">
      <c r="A137" t="s">
        <v>71</v>
      </c>
      <c r="B137" s="27">
        <v>0.34184027777777776</v>
      </c>
      <c r="C137">
        <v>38</v>
      </c>
      <c r="D137" s="27">
        <v>2.1643518518518518E-3</v>
      </c>
      <c r="E137" s="27">
        <v>8.2407407407407401E-2</v>
      </c>
      <c r="F137">
        <v>0</v>
      </c>
      <c r="G137" s="27">
        <v>0</v>
      </c>
      <c r="H137" s="27">
        <v>0</v>
      </c>
      <c r="I137" s="34">
        <v>62</v>
      </c>
      <c r="J137" s="27">
        <v>7.407407407407407E-4</v>
      </c>
      <c r="K137" s="35">
        <v>4.565972222222222E-2</v>
      </c>
      <c r="L137">
        <v>3</v>
      </c>
      <c r="M137" s="27">
        <v>4.7337962962962967E-3</v>
      </c>
      <c r="N137" s="35">
        <v>1.4189814814814815E-2</v>
      </c>
      <c r="O137" s="3">
        <v>45953</v>
      </c>
      <c r="P137" t="str">
        <f t="shared" si="4"/>
        <v>October</v>
      </c>
      <c r="Q137" s="3">
        <f t="shared" si="5"/>
        <v>45950</v>
      </c>
      <c r="R137" s="36" t="str" cm="1">
        <f t="array" ref="R137">IFERROR(
  _xlfn.LET(
    _xlpm.cleaned, TRIM(SUBSTITUTE(A137,CHAR(160),"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8" spans="1:18" x14ac:dyDescent="0.25">
      <c r="A138" t="s">
        <v>71</v>
      </c>
      <c r="B138" s="27">
        <v>0.34710648148148149</v>
      </c>
      <c r="C138">
        <v>30</v>
      </c>
      <c r="D138" s="27">
        <v>3.3449074074074076E-3</v>
      </c>
      <c r="E138" s="27">
        <v>0.10034722222222223</v>
      </c>
      <c r="F138">
        <v>0</v>
      </c>
      <c r="G138" s="27">
        <v>0</v>
      </c>
      <c r="H138" s="27">
        <v>0</v>
      </c>
      <c r="I138" s="34">
        <v>48</v>
      </c>
      <c r="J138" s="27">
        <v>9.9537037037037042E-4</v>
      </c>
      <c r="K138" s="35">
        <v>4.7766203703703707E-2</v>
      </c>
      <c r="L138">
        <v>0</v>
      </c>
      <c r="M138" s="27">
        <v>0</v>
      </c>
      <c r="N138" s="35">
        <v>0</v>
      </c>
      <c r="O138" s="3">
        <v>45954</v>
      </c>
      <c r="P138" t="str">
        <f t="shared" si="4"/>
        <v>October</v>
      </c>
      <c r="Q138" s="3">
        <f t="shared" si="5"/>
        <v>45950</v>
      </c>
      <c r="R138" s="36" t="str" cm="1">
        <f t="array" ref="R138">IFERROR(
  _xlfn.LET(
    _xlpm.cleaned, TRIM(SUBSTITUTE(A138,CHAR(160),"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39" spans="1:18" x14ac:dyDescent="0.25">
      <c r="A139" t="s">
        <v>71</v>
      </c>
      <c r="B139" s="27">
        <v>0.34342592592592591</v>
      </c>
      <c r="C139">
        <v>23</v>
      </c>
      <c r="D139" s="27">
        <v>2.4305555555555556E-3</v>
      </c>
      <c r="E139" s="27">
        <v>5.590277777777778E-2</v>
      </c>
      <c r="F139">
        <v>0</v>
      </c>
      <c r="G139" s="27">
        <v>0</v>
      </c>
      <c r="H139" s="27">
        <v>0</v>
      </c>
      <c r="I139" s="34">
        <v>46</v>
      </c>
      <c r="J139" s="27">
        <v>2.2453703703703702E-3</v>
      </c>
      <c r="K139" s="35">
        <v>0.1034375</v>
      </c>
      <c r="L139">
        <v>2</v>
      </c>
      <c r="M139" s="27">
        <v>8.611111111111111E-3</v>
      </c>
      <c r="N139" s="35">
        <v>1.7233796296296296E-2</v>
      </c>
      <c r="O139" s="3">
        <v>45957</v>
      </c>
      <c r="P139" t="str">
        <f t="shared" si="4"/>
        <v>October</v>
      </c>
      <c r="Q139" s="3">
        <f t="shared" si="5"/>
        <v>45957</v>
      </c>
      <c r="R139" s="36" t="str" cm="1">
        <f t="array" ref="R139">IFERROR(
  _xlfn.LET(
    _xlpm.cleaned, TRIM(SUBSTITUTE(A139,CHAR(160),"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0" spans="1:18" x14ac:dyDescent="0.25">
      <c r="A140" t="s">
        <v>71</v>
      </c>
      <c r="B140" s="27">
        <v>0.27695601851851853</v>
      </c>
      <c r="C140">
        <v>15</v>
      </c>
      <c r="D140" s="27">
        <v>2.2453703703703702E-3</v>
      </c>
      <c r="E140" s="27">
        <v>3.3692129629629627E-2</v>
      </c>
      <c r="F140">
        <v>0</v>
      </c>
      <c r="G140" s="27">
        <v>0</v>
      </c>
      <c r="H140" s="27">
        <v>0</v>
      </c>
      <c r="I140" s="34">
        <v>36</v>
      </c>
      <c r="J140" s="27">
        <v>3.0787037037037037E-3</v>
      </c>
      <c r="K140" s="35">
        <v>0.11077546296296296</v>
      </c>
      <c r="L140">
        <v>1</v>
      </c>
      <c r="M140" s="27">
        <v>1.7824074074074075E-3</v>
      </c>
      <c r="N140" s="35">
        <v>1.7824074074074075E-3</v>
      </c>
      <c r="O140" s="3">
        <v>45958</v>
      </c>
      <c r="P140" t="str">
        <f t="shared" si="4"/>
        <v>October</v>
      </c>
      <c r="Q140" s="3">
        <f t="shared" si="5"/>
        <v>45957</v>
      </c>
      <c r="R140" s="36" t="str" cm="1">
        <f t="array" ref="R140">IFERROR(
  _xlfn.LET(
    _xlpm.cleaned, TRIM(SUBSTITUTE(A140,CHAR(160),"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1" spans="1:18" x14ac:dyDescent="0.25">
      <c r="A141" t="s">
        <v>71</v>
      </c>
      <c r="B141" s="27">
        <v>0.31688657407407406</v>
      </c>
      <c r="C141">
        <v>24</v>
      </c>
      <c r="D141" s="27">
        <v>2.7314814814814814E-3</v>
      </c>
      <c r="E141" s="27">
        <v>6.5520833333333334E-2</v>
      </c>
      <c r="F141">
        <v>1</v>
      </c>
      <c r="G141" s="27">
        <v>8.4490740740740739E-4</v>
      </c>
      <c r="H141" s="27">
        <v>8.4490740740740739E-4</v>
      </c>
      <c r="I141" s="34">
        <v>49</v>
      </c>
      <c r="J141" s="27">
        <v>1.9328703703703704E-3</v>
      </c>
      <c r="K141" s="35">
        <v>9.4884259259259265E-2</v>
      </c>
      <c r="L141">
        <v>2</v>
      </c>
      <c r="M141" s="27">
        <v>1.3391203703703704E-2</v>
      </c>
      <c r="N141" s="35">
        <v>2.6782407407407408E-2</v>
      </c>
      <c r="O141" s="3">
        <v>45959</v>
      </c>
      <c r="P141" t="str">
        <f t="shared" si="4"/>
        <v>October</v>
      </c>
      <c r="Q141" s="3">
        <f t="shared" si="5"/>
        <v>45957</v>
      </c>
      <c r="R141" s="36" t="str" cm="1">
        <f t="array" ref="R141">IFERROR(
  _xlfn.LET(
    _xlpm.cleaned, TRIM(SUBSTITUTE(A141,CHAR(160),"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2" spans="1:18" x14ac:dyDescent="0.25">
      <c r="A142" t="s">
        <v>71</v>
      </c>
      <c r="B142" s="27">
        <v>0.32145833333333335</v>
      </c>
      <c r="C142">
        <v>17</v>
      </c>
      <c r="D142" s="27">
        <v>1.6782407407407408E-3</v>
      </c>
      <c r="E142" s="27">
        <v>2.8564814814814814E-2</v>
      </c>
      <c r="F142">
        <v>0</v>
      </c>
      <c r="G142" s="27">
        <v>0</v>
      </c>
      <c r="H142" s="27">
        <v>0</v>
      </c>
      <c r="I142" s="34">
        <v>38</v>
      </c>
      <c r="J142" s="27">
        <v>3.2291666666666666E-3</v>
      </c>
      <c r="K142" s="35">
        <v>0.12254629629629629</v>
      </c>
      <c r="L142">
        <v>1</v>
      </c>
      <c r="M142" s="27">
        <v>1.5821759259259258E-2</v>
      </c>
      <c r="N142" s="35">
        <v>1.5821759259259258E-2</v>
      </c>
      <c r="O142" s="3">
        <v>45960</v>
      </c>
      <c r="P142" t="str">
        <f t="shared" si="4"/>
        <v>October</v>
      </c>
      <c r="Q142" s="3">
        <f t="shared" si="5"/>
        <v>45957</v>
      </c>
      <c r="R142" s="36" t="str" cm="1">
        <f t="array" ref="R142">IFERROR(
  _xlfn.LET(
    _xlpm.cleaned, TRIM(SUBSTITUTE(A142,CHAR(160),"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3" spans="1:18" x14ac:dyDescent="0.25">
      <c r="A143" t="s">
        <v>71</v>
      </c>
      <c r="B143" s="27">
        <v>0.27842592592592591</v>
      </c>
      <c r="C143">
        <v>17</v>
      </c>
      <c r="D143" s="27">
        <v>2.2106481481481482E-3</v>
      </c>
      <c r="E143" s="27">
        <v>3.7673611111111109E-2</v>
      </c>
      <c r="F143">
        <v>0</v>
      </c>
      <c r="G143" s="27">
        <v>0</v>
      </c>
      <c r="H143" s="27">
        <v>0</v>
      </c>
      <c r="I143" s="34">
        <v>39</v>
      </c>
      <c r="J143" s="27">
        <v>2.0023148148148148E-3</v>
      </c>
      <c r="K143" s="35">
        <v>7.8009259259259264E-2</v>
      </c>
      <c r="L143">
        <v>2</v>
      </c>
      <c r="M143" s="27">
        <v>6.8055555555555551E-3</v>
      </c>
      <c r="N143" s="35">
        <v>1.361111111111111E-2</v>
      </c>
      <c r="O143" s="3">
        <v>45961</v>
      </c>
      <c r="P143" t="str">
        <f t="shared" si="4"/>
        <v>October</v>
      </c>
      <c r="Q143" s="3">
        <f t="shared" si="5"/>
        <v>45957</v>
      </c>
      <c r="R143" s="36" t="str" cm="1">
        <f t="array" ref="R143">IFERROR(
  _xlfn.LET(
    _xlpm.cleaned, TRIM(SUBSTITUTE(A143,CHAR(160),"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4" spans="1:18" x14ac:dyDescent="0.25">
      <c r="A144" t="s">
        <v>71</v>
      </c>
      <c r="B144" s="27">
        <v>0.32002314814814814</v>
      </c>
      <c r="C144">
        <v>22</v>
      </c>
      <c r="D144" s="27">
        <v>2.6041666666666665E-3</v>
      </c>
      <c r="E144" s="27">
        <v>5.7337962962962966E-2</v>
      </c>
      <c r="F144">
        <v>1</v>
      </c>
      <c r="G144" s="27">
        <v>2.1412037037037038E-3</v>
      </c>
      <c r="H144" s="27">
        <v>2.1412037037037038E-3</v>
      </c>
      <c r="I144" s="34">
        <v>39</v>
      </c>
      <c r="J144" s="27">
        <v>3.2291666666666666E-3</v>
      </c>
      <c r="K144" s="35">
        <v>0.12607638888888889</v>
      </c>
      <c r="L144">
        <v>1</v>
      </c>
      <c r="M144" s="27">
        <v>3.3101851851851851E-3</v>
      </c>
      <c r="N144" s="35">
        <v>3.3101851851851851E-3</v>
      </c>
      <c r="O144" s="3">
        <v>45964</v>
      </c>
      <c r="P144" t="str">
        <f t="shared" si="4"/>
        <v>November</v>
      </c>
      <c r="Q144" s="3">
        <f t="shared" si="5"/>
        <v>45964</v>
      </c>
      <c r="R144" s="36" t="str" cm="1">
        <f t="array" ref="R144">IFERROR(
  _xlfn.LET(
    _xlpm.cleaned, TRIM(SUBSTITUTE(A144,CHAR(160),"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5" spans="1:18" x14ac:dyDescent="0.25">
      <c r="A145" t="s">
        <v>71</v>
      </c>
      <c r="B145" s="27">
        <v>0.30951388888888887</v>
      </c>
      <c r="C145">
        <v>14</v>
      </c>
      <c r="D145" s="27">
        <v>2.7430555555555554E-3</v>
      </c>
      <c r="E145" s="27">
        <v>3.8437499999999999E-2</v>
      </c>
      <c r="F145">
        <v>0</v>
      </c>
      <c r="G145" s="27">
        <v>0</v>
      </c>
      <c r="H145" s="27">
        <v>0</v>
      </c>
      <c r="I145" s="34">
        <v>43</v>
      </c>
      <c r="J145" s="27">
        <v>3.1250000000000002E-3</v>
      </c>
      <c r="K145" s="35">
        <v>0.13427083333333334</v>
      </c>
      <c r="L145">
        <v>0</v>
      </c>
      <c r="M145" s="27">
        <v>0</v>
      </c>
      <c r="N145" s="35">
        <v>0</v>
      </c>
      <c r="O145" s="3">
        <v>45965</v>
      </c>
      <c r="P145" t="str">
        <f t="shared" si="4"/>
        <v>November</v>
      </c>
      <c r="Q145" s="3">
        <f t="shared" si="5"/>
        <v>45964</v>
      </c>
      <c r="R145" s="36" t="str" cm="1">
        <f t="array" ref="R145">IFERROR(
  _xlfn.LET(
    _xlpm.cleaned, TRIM(SUBSTITUTE(A145,CHAR(160),"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6" spans="1:18" x14ac:dyDescent="0.25">
      <c r="A146" t="s">
        <v>71</v>
      </c>
      <c r="B146" s="27">
        <v>0.32704861111111111</v>
      </c>
      <c r="C146">
        <v>17</v>
      </c>
      <c r="D146" s="27">
        <v>1.7939814814814815E-3</v>
      </c>
      <c r="E146" s="27">
        <v>3.0462962962962963E-2</v>
      </c>
      <c r="F146">
        <v>0</v>
      </c>
      <c r="G146" s="27">
        <v>0</v>
      </c>
      <c r="H146" s="27">
        <v>0</v>
      </c>
      <c r="I146" s="34">
        <v>43</v>
      </c>
      <c r="J146" s="27">
        <v>2.627314814814815E-3</v>
      </c>
      <c r="K146" s="35">
        <v>0.11274305555555555</v>
      </c>
      <c r="L146">
        <v>0</v>
      </c>
      <c r="M146" s="27">
        <v>0</v>
      </c>
      <c r="N146" s="35">
        <v>0</v>
      </c>
      <c r="O146" s="3">
        <v>45966</v>
      </c>
      <c r="P146" t="str">
        <f t="shared" si="4"/>
        <v>November</v>
      </c>
      <c r="Q146" s="3">
        <f t="shared" si="5"/>
        <v>45964</v>
      </c>
      <c r="R146" s="36" t="str" cm="1">
        <f t="array" ref="R146">IFERROR(
  _xlfn.LET(
    _xlpm.cleaned, TRIM(SUBSTITUTE(A146,CHAR(160),"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7" spans="1:18" x14ac:dyDescent="0.25">
      <c r="A147" t="s">
        <v>71</v>
      </c>
      <c r="B147" s="27">
        <v>0.3134837962962963</v>
      </c>
      <c r="C147">
        <v>23</v>
      </c>
      <c r="D147" s="27">
        <v>2.7314814814814814E-3</v>
      </c>
      <c r="E147" s="27">
        <v>6.2916666666666662E-2</v>
      </c>
      <c r="F147">
        <v>0</v>
      </c>
      <c r="G147" s="27">
        <v>0</v>
      </c>
      <c r="H147" s="27">
        <v>0</v>
      </c>
      <c r="I147" s="34">
        <v>38</v>
      </c>
      <c r="J147" s="27">
        <v>2.5578703703703705E-3</v>
      </c>
      <c r="K147" s="35">
        <v>9.7199074074074077E-2</v>
      </c>
      <c r="L147">
        <v>1</v>
      </c>
      <c r="M147" s="27">
        <v>8.0092592592592594E-3</v>
      </c>
      <c r="N147" s="35">
        <v>8.0092592592592594E-3</v>
      </c>
      <c r="O147" s="3">
        <v>45967</v>
      </c>
      <c r="P147" t="str">
        <f t="shared" si="4"/>
        <v>November</v>
      </c>
      <c r="Q147" s="3">
        <f t="shared" si="5"/>
        <v>45964</v>
      </c>
      <c r="R147" s="36" t="str" cm="1">
        <f t="array" ref="R147">IFERROR(
  _xlfn.LET(
    _xlpm.cleaned, TRIM(SUBSTITUTE(A147,CHAR(160),"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148" spans="1:18" x14ac:dyDescent="0.25">
      <c r="A148" t="s">
        <v>72</v>
      </c>
      <c r="B148" s="27">
        <v>0.29224537037037035</v>
      </c>
      <c r="C148">
        <v>15</v>
      </c>
      <c r="D148" s="27">
        <v>1.3310185185185185E-3</v>
      </c>
      <c r="E148" s="27">
        <v>2.0034722222222221E-2</v>
      </c>
      <c r="F148">
        <v>0</v>
      </c>
      <c r="G148" s="27">
        <v>0</v>
      </c>
      <c r="H148" s="27">
        <v>0</v>
      </c>
      <c r="I148" s="34">
        <v>32</v>
      </c>
      <c r="J148" s="27">
        <v>3.7731481481481483E-3</v>
      </c>
      <c r="K148" s="35">
        <v>0.1205787037037037</v>
      </c>
      <c r="L148">
        <v>0</v>
      </c>
      <c r="M148" s="27">
        <v>0</v>
      </c>
      <c r="N148" s="35">
        <v>0</v>
      </c>
      <c r="O148" s="3">
        <v>45932</v>
      </c>
      <c r="P148" t="str">
        <f t="shared" si="4"/>
        <v>October</v>
      </c>
      <c r="Q148" s="3">
        <f t="shared" si="5"/>
        <v>45929</v>
      </c>
      <c r="R148" s="36" t="str" cm="1">
        <f t="array" ref="R148">IFERROR(
  _xlfn.LET(
    _xlpm.cleaned, TRIM(SUBSTITUTE(A148,CHAR(160),"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49" spans="1:18" x14ac:dyDescent="0.25">
      <c r="A149" t="s">
        <v>72</v>
      </c>
      <c r="B149" s="27">
        <v>0.26710648148148147</v>
      </c>
      <c r="C149">
        <v>14</v>
      </c>
      <c r="D149" s="27">
        <v>1.3888888888888889E-3</v>
      </c>
      <c r="E149" s="27">
        <v>1.9421296296296298E-2</v>
      </c>
      <c r="F149">
        <v>0</v>
      </c>
      <c r="G149" s="27">
        <v>0</v>
      </c>
      <c r="H149" s="27">
        <v>0</v>
      </c>
      <c r="I149" s="34">
        <v>35</v>
      </c>
      <c r="J149" s="27">
        <v>2.9282407407407408E-3</v>
      </c>
      <c r="K149" s="35">
        <v>0.10231481481481482</v>
      </c>
      <c r="L149">
        <v>0</v>
      </c>
      <c r="M149" s="27">
        <v>0</v>
      </c>
      <c r="N149" s="35">
        <v>0</v>
      </c>
      <c r="O149" s="3">
        <v>45933</v>
      </c>
      <c r="P149" t="str">
        <f t="shared" si="4"/>
        <v>October</v>
      </c>
      <c r="Q149" s="3">
        <f t="shared" si="5"/>
        <v>45929</v>
      </c>
      <c r="R149" s="36" t="str" cm="1">
        <f t="array" ref="R149">IFERROR(
  _xlfn.LET(
    _xlpm.cleaned, TRIM(SUBSTITUTE(A149,CHAR(160),"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0" spans="1:18" x14ac:dyDescent="0.25">
      <c r="A150" t="s">
        <v>72</v>
      </c>
      <c r="B150" s="27">
        <v>0.29415509259259259</v>
      </c>
      <c r="C150">
        <v>30</v>
      </c>
      <c r="D150" s="27">
        <v>1.4583333333333334E-3</v>
      </c>
      <c r="E150" s="27">
        <v>4.3842592592592593E-2</v>
      </c>
      <c r="F150">
        <v>0</v>
      </c>
      <c r="G150" s="27">
        <v>0</v>
      </c>
      <c r="H150" s="27">
        <v>0</v>
      </c>
      <c r="I150" s="34">
        <v>66</v>
      </c>
      <c r="J150" s="27">
        <v>1.8749999999999999E-3</v>
      </c>
      <c r="K150" s="35">
        <v>0.12356481481481481</v>
      </c>
      <c r="L150">
        <v>1</v>
      </c>
      <c r="M150" s="27">
        <v>2.5810185185185185E-3</v>
      </c>
      <c r="N150" s="35">
        <v>2.5810185185185185E-3</v>
      </c>
      <c r="O150" s="3">
        <v>45936</v>
      </c>
      <c r="P150" t="str">
        <f t="shared" si="4"/>
        <v>October</v>
      </c>
      <c r="Q150" s="3">
        <f t="shared" si="5"/>
        <v>45936</v>
      </c>
      <c r="R150" s="36" t="str" cm="1">
        <f t="array" ref="R150">IFERROR(
  _xlfn.LET(
    _xlpm.cleaned, TRIM(SUBSTITUTE(A150,CHAR(160),"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1" spans="1:18" x14ac:dyDescent="0.25">
      <c r="A151" t="s">
        <v>72</v>
      </c>
      <c r="B151" s="27">
        <v>0.2507523148148148</v>
      </c>
      <c r="C151">
        <v>12</v>
      </c>
      <c r="D151" s="27">
        <v>2.0833333333333333E-3</v>
      </c>
      <c r="E151" s="27">
        <v>2.5057870370370369E-2</v>
      </c>
      <c r="F151">
        <v>1</v>
      </c>
      <c r="G151" s="27">
        <v>1.0879629629629629E-3</v>
      </c>
      <c r="H151" s="27">
        <v>1.0879629629629629E-3</v>
      </c>
      <c r="I151" s="34">
        <v>40</v>
      </c>
      <c r="J151" s="27">
        <v>2.2453703703703702E-3</v>
      </c>
      <c r="K151" s="35">
        <v>8.9641203703703709E-2</v>
      </c>
      <c r="L151">
        <v>1</v>
      </c>
      <c r="M151" s="27">
        <v>6.076388888888889E-3</v>
      </c>
      <c r="N151" s="35">
        <v>6.076388888888889E-3</v>
      </c>
      <c r="O151" s="3">
        <v>45937</v>
      </c>
      <c r="P151" t="str">
        <f t="shared" si="4"/>
        <v>October</v>
      </c>
      <c r="Q151" s="3">
        <f t="shared" si="5"/>
        <v>45936</v>
      </c>
      <c r="R151" s="36" t="str" cm="1">
        <f t="array" ref="R151">IFERROR(
  _xlfn.LET(
    _xlpm.cleaned, TRIM(SUBSTITUTE(A151,CHAR(160),"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2" spans="1:18" x14ac:dyDescent="0.25">
      <c r="A152" t="s">
        <v>72</v>
      </c>
      <c r="B152" s="27">
        <v>0.26731481481481484</v>
      </c>
      <c r="C152">
        <v>23</v>
      </c>
      <c r="D152" s="27">
        <v>1.5972222222222223E-3</v>
      </c>
      <c r="E152" s="27">
        <v>3.6805555555555557E-2</v>
      </c>
      <c r="F152">
        <v>0</v>
      </c>
      <c r="G152" s="27">
        <v>0</v>
      </c>
      <c r="H152" s="27">
        <v>0</v>
      </c>
      <c r="I152" s="34">
        <v>67</v>
      </c>
      <c r="J152" s="27">
        <v>1.3773148148148147E-3</v>
      </c>
      <c r="K152" s="35">
        <v>9.2141203703703697E-2</v>
      </c>
      <c r="L152">
        <v>0</v>
      </c>
      <c r="M152" s="27">
        <v>0</v>
      </c>
      <c r="N152" s="35">
        <v>0</v>
      </c>
      <c r="O152" s="3">
        <v>45939</v>
      </c>
      <c r="P152" t="str">
        <f t="shared" si="4"/>
        <v>October</v>
      </c>
      <c r="Q152" s="3">
        <f t="shared" si="5"/>
        <v>45936</v>
      </c>
      <c r="R152" s="36" t="str" cm="1">
        <f t="array" ref="R152">IFERROR(
  _xlfn.LET(
    _xlpm.cleaned, TRIM(SUBSTITUTE(A152,CHAR(160),"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3" spans="1:18" x14ac:dyDescent="0.25">
      <c r="A153" t="s">
        <v>72</v>
      </c>
      <c r="B153" s="27">
        <v>0.29880787037037038</v>
      </c>
      <c r="C153">
        <v>20</v>
      </c>
      <c r="D153" s="27">
        <v>1.4120370370370369E-3</v>
      </c>
      <c r="E153" s="27">
        <v>2.8136574074074074E-2</v>
      </c>
      <c r="F153">
        <v>0</v>
      </c>
      <c r="G153" s="27">
        <v>0</v>
      </c>
      <c r="H153" s="27">
        <v>0</v>
      </c>
      <c r="I153" s="34">
        <v>69</v>
      </c>
      <c r="J153" s="27">
        <v>1.1342592592592593E-3</v>
      </c>
      <c r="K153" s="35">
        <v>7.8136574074074081E-2</v>
      </c>
      <c r="L153">
        <v>0</v>
      </c>
      <c r="M153" s="27">
        <v>0</v>
      </c>
      <c r="N153" s="35">
        <v>0</v>
      </c>
      <c r="O153" s="3">
        <v>45940</v>
      </c>
      <c r="P153" t="str">
        <f t="shared" si="4"/>
        <v>October</v>
      </c>
      <c r="Q153" s="3">
        <f t="shared" si="5"/>
        <v>45936</v>
      </c>
      <c r="R153" s="36" t="str" cm="1">
        <f t="array" ref="R153">IFERROR(
  _xlfn.LET(
    _xlpm.cleaned, TRIM(SUBSTITUTE(A153,CHAR(160),"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4" spans="1:18" x14ac:dyDescent="0.25">
      <c r="A154" t="s">
        <v>72</v>
      </c>
      <c r="B154" s="27">
        <v>0.29249999999999998</v>
      </c>
      <c r="C154">
        <v>19</v>
      </c>
      <c r="D154" s="27">
        <v>1.0532407407407407E-3</v>
      </c>
      <c r="E154" s="27">
        <v>2.0046296296296295E-2</v>
      </c>
      <c r="F154">
        <v>0</v>
      </c>
      <c r="G154" s="27">
        <v>0</v>
      </c>
      <c r="H154" s="27">
        <v>0</v>
      </c>
      <c r="I154" s="34">
        <v>67</v>
      </c>
      <c r="J154" s="27">
        <v>9.837962962962962E-4</v>
      </c>
      <c r="K154" s="35">
        <v>6.5717592592592591E-2</v>
      </c>
      <c r="L154">
        <v>3</v>
      </c>
      <c r="M154" s="27">
        <v>1.4965277777777777E-2</v>
      </c>
      <c r="N154" s="35">
        <v>4.4884259259259263E-2</v>
      </c>
      <c r="O154" s="3">
        <v>45943</v>
      </c>
      <c r="P154" t="str">
        <f t="shared" si="4"/>
        <v>October</v>
      </c>
      <c r="Q154" s="3">
        <f t="shared" si="5"/>
        <v>45943</v>
      </c>
      <c r="R154" s="36" t="str" cm="1">
        <f t="array" ref="R154">IFERROR(
  _xlfn.LET(
    _xlpm.cleaned, TRIM(SUBSTITUTE(A154,CHAR(160),"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5" spans="1:18" x14ac:dyDescent="0.25">
      <c r="A155" t="s">
        <v>72</v>
      </c>
      <c r="B155" s="27">
        <v>0.28837962962962965</v>
      </c>
      <c r="C155">
        <v>19</v>
      </c>
      <c r="D155" s="27">
        <v>1.3425925925925925E-3</v>
      </c>
      <c r="E155" s="27">
        <v>2.5555555555555557E-2</v>
      </c>
      <c r="F155">
        <v>0</v>
      </c>
      <c r="G155" s="27">
        <v>0</v>
      </c>
      <c r="H155" s="27">
        <v>0</v>
      </c>
      <c r="I155" s="34">
        <v>59</v>
      </c>
      <c r="J155" s="27">
        <v>2.0486111111111113E-3</v>
      </c>
      <c r="K155" s="35">
        <v>0.12091435185185186</v>
      </c>
      <c r="L155">
        <v>2</v>
      </c>
      <c r="M155" s="27">
        <v>7.6851851851851855E-3</v>
      </c>
      <c r="N155" s="35">
        <v>1.5381944444444445E-2</v>
      </c>
      <c r="O155" s="3">
        <v>45944</v>
      </c>
      <c r="P155" t="str">
        <f t="shared" si="4"/>
        <v>October</v>
      </c>
      <c r="Q155" s="3">
        <f t="shared" si="5"/>
        <v>45943</v>
      </c>
      <c r="R155" s="36" t="str" cm="1">
        <f t="array" ref="R155">IFERROR(
  _xlfn.LET(
    _xlpm.cleaned, TRIM(SUBSTITUTE(A155,CHAR(160),"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6" spans="1:18" x14ac:dyDescent="0.25">
      <c r="A156" t="s">
        <v>72</v>
      </c>
      <c r="B156" s="27">
        <v>0.45480324074074074</v>
      </c>
      <c r="C156">
        <v>20</v>
      </c>
      <c r="D156" s="27">
        <v>1.5856481481481481E-3</v>
      </c>
      <c r="E156" s="27">
        <v>3.1689814814814816E-2</v>
      </c>
      <c r="F156">
        <v>0</v>
      </c>
      <c r="G156" s="27">
        <v>0</v>
      </c>
      <c r="H156" s="27">
        <v>0</v>
      </c>
      <c r="I156" s="34">
        <v>56</v>
      </c>
      <c r="J156" s="27">
        <v>5.1967592592592595E-3</v>
      </c>
      <c r="K156" s="35">
        <v>0.29078703703703701</v>
      </c>
      <c r="L156">
        <v>0</v>
      </c>
      <c r="M156" s="27">
        <v>0</v>
      </c>
      <c r="N156" s="35">
        <v>0</v>
      </c>
      <c r="O156" s="3">
        <v>45945</v>
      </c>
      <c r="P156" t="str">
        <f t="shared" si="4"/>
        <v>October</v>
      </c>
      <c r="Q156" s="3">
        <f t="shared" si="5"/>
        <v>45943</v>
      </c>
      <c r="R156" s="36" t="str" cm="1">
        <f t="array" ref="R156">IFERROR(
  _xlfn.LET(
    _xlpm.cleaned, TRIM(SUBSTITUTE(A156,CHAR(160),"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7" spans="1:18" x14ac:dyDescent="0.25">
      <c r="A157" t="s">
        <v>72</v>
      </c>
      <c r="B157" s="27">
        <v>0.21990740740740741</v>
      </c>
      <c r="C157">
        <v>25</v>
      </c>
      <c r="D157" s="27">
        <v>1.7939814814814815E-3</v>
      </c>
      <c r="E157" s="27">
        <v>4.4745370370370373E-2</v>
      </c>
      <c r="F157">
        <v>0</v>
      </c>
      <c r="G157" s="27">
        <v>0</v>
      </c>
      <c r="H157" s="27">
        <v>0</v>
      </c>
      <c r="I157" s="34">
        <v>58</v>
      </c>
      <c r="J157" s="27">
        <v>1.1921296296296296E-3</v>
      </c>
      <c r="K157" s="35">
        <v>6.9467592592592595E-2</v>
      </c>
      <c r="L157">
        <v>1</v>
      </c>
      <c r="M157" s="27">
        <v>1.1145833333333334E-2</v>
      </c>
      <c r="N157" s="35">
        <v>1.1145833333333334E-2</v>
      </c>
      <c r="O157" s="3">
        <v>45946</v>
      </c>
      <c r="P157" t="str">
        <f t="shared" si="4"/>
        <v>October</v>
      </c>
      <c r="Q157" s="3">
        <f t="shared" si="5"/>
        <v>45943</v>
      </c>
      <c r="R157" s="36" t="str" cm="1">
        <f t="array" ref="R157">IFERROR(
  _xlfn.LET(
    _xlpm.cleaned, TRIM(SUBSTITUTE(A157,CHAR(160),"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8" spans="1:18" x14ac:dyDescent="0.25">
      <c r="A158" t="s">
        <v>72</v>
      </c>
      <c r="B158" s="27">
        <v>0.32861111111111113</v>
      </c>
      <c r="C158">
        <v>22</v>
      </c>
      <c r="D158" s="27">
        <v>1.6666666666666668E-3</v>
      </c>
      <c r="E158" s="27">
        <v>3.6562499999999998E-2</v>
      </c>
      <c r="F158">
        <v>0</v>
      </c>
      <c r="G158" s="27">
        <v>0</v>
      </c>
      <c r="H158" s="27">
        <v>0</v>
      </c>
      <c r="I158" s="34">
        <v>59</v>
      </c>
      <c r="J158" s="27">
        <v>1.5740740740740741E-3</v>
      </c>
      <c r="K158" s="35">
        <v>9.302083333333333E-2</v>
      </c>
      <c r="L158">
        <v>0</v>
      </c>
      <c r="M158" s="27">
        <v>0</v>
      </c>
      <c r="N158" s="35">
        <v>0</v>
      </c>
      <c r="O158" s="3">
        <v>45947</v>
      </c>
      <c r="P158" t="str">
        <f t="shared" si="4"/>
        <v>October</v>
      </c>
      <c r="Q158" s="3">
        <f t="shared" si="5"/>
        <v>45943</v>
      </c>
      <c r="R158" s="36" t="str" cm="1">
        <f t="array" ref="R158">IFERROR(
  _xlfn.LET(
    _xlpm.cleaned, TRIM(SUBSTITUTE(A158,CHAR(160),"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59" spans="1:18" x14ac:dyDescent="0.25">
      <c r="A159" t="s">
        <v>72</v>
      </c>
      <c r="B159" s="27">
        <v>0.64001157407407405</v>
      </c>
      <c r="C159">
        <v>24</v>
      </c>
      <c r="D159" s="27">
        <v>1.8055555555555555E-3</v>
      </c>
      <c r="E159" s="27">
        <v>4.3194444444444445E-2</v>
      </c>
      <c r="F159">
        <v>0</v>
      </c>
      <c r="G159" s="27">
        <v>0</v>
      </c>
      <c r="H159" s="27">
        <v>0</v>
      </c>
      <c r="I159" s="34">
        <v>59</v>
      </c>
      <c r="J159" s="27">
        <v>2.7314814814814814E-3</v>
      </c>
      <c r="K159" s="35">
        <v>0.16099537037037037</v>
      </c>
      <c r="L159">
        <v>1</v>
      </c>
      <c r="M159" s="27">
        <v>1.3888888888888889E-4</v>
      </c>
      <c r="N159" s="35">
        <v>1.3888888888888889E-4</v>
      </c>
      <c r="O159" s="3">
        <v>45950</v>
      </c>
      <c r="P159" t="str">
        <f t="shared" si="4"/>
        <v>October</v>
      </c>
      <c r="Q159" s="3">
        <f t="shared" si="5"/>
        <v>45950</v>
      </c>
      <c r="R159" s="36" t="str" cm="1">
        <f t="array" ref="R159">IFERROR(
  _xlfn.LET(
    _xlpm.cleaned, TRIM(SUBSTITUTE(A159,CHAR(160),"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0" spans="1:18" x14ac:dyDescent="0.25">
      <c r="A160" t="s">
        <v>72</v>
      </c>
      <c r="B160" s="27">
        <v>0.62542824074074077</v>
      </c>
      <c r="C160">
        <v>12</v>
      </c>
      <c r="D160" s="27">
        <v>1.8634259259259259E-3</v>
      </c>
      <c r="E160" s="27">
        <v>2.2361111111111109E-2</v>
      </c>
      <c r="F160">
        <v>0</v>
      </c>
      <c r="G160" s="27">
        <v>0</v>
      </c>
      <c r="H160" s="27">
        <v>0</v>
      </c>
      <c r="I160" s="34">
        <v>61</v>
      </c>
      <c r="J160" s="27">
        <v>2.0138888888888888E-3</v>
      </c>
      <c r="K160" s="35">
        <v>0.12313657407407408</v>
      </c>
      <c r="L160">
        <v>1</v>
      </c>
      <c r="M160" s="27">
        <v>3.1018518518518517E-3</v>
      </c>
      <c r="N160" s="35">
        <v>3.1018518518518517E-3</v>
      </c>
      <c r="O160" s="3">
        <v>45951</v>
      </c>
      <c r="P160" t="str">
        <f t="shared" si="4"/>
        <v>October</v>
      </c>
      <c r="Q160" s="3">
        <f t="shared" si="5"/>
        <v>45950</v>
      </c>
      <c r="R160" s="36" t="str" cm="1">
        <f t="array" ref="R160">IFERROR(
  _xlfn.LET(
    _xlpm.cleaned, TRIM(SUBSTITUTE(A160,CHAR(160),"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1" spans="1:18" x14ac:dyDescent="0.25">
      <c r="A161" t="s">
        <v>72</v>
      </c>
      <c r="B161" s="27">
        <v>0.28222222222222221</v>
      </c>
      <c r="C161">
        <v>21</v>
      </c>
      <c r="D161" s="27">
        <v>1.4930555555555556E-3</v>
      </c>
      <c r="E161" s="27">
        <v>3.1412037037037037E-2</v>
      </c>
      <c r="F161">
        <v>0</v>
      </c>
      <c r="G161" s="27">
        <v>0</v>
      </c>
      <c r="H161" s="27">
        <v>0</v>
      </c>
      <c r="I161" s="34">
        <v>76</v>
      </c>
      <c r="J161" s="27">
        <v>1.3194444444444445E-3</v>
      </c>
      <c r="K161" s="35">
        <v>0.10008101851851851</v>
      </c>
      <c r="L161">
        <v>1</v>
      </c>
      <c r="M161" s="27">
        <v>8.3680555555555557E-3</v>
      </c>
      <c r="N161" s="35">
        <v>8.3680555555555557E-3</v>
      </c>
      <c r="O161" s="3">
        <v>45952</v>
      </c>
      <c r="P161" t="str">
        <f t="shared" si="4"/>
        <v>October</v>
      </c>
      <c r="Q161" s="3">
        <f t="shared" si="5"/>
        <v>45950</v>
      </c>
      <c r="R161" s="36" t="str" cm="1">
        <f t="array" ref="R161">IFERROR(
  _xlfn.LET(
    _xlpm.cleaned, TRIM(SUBSTITUTE(A161,CHAR(160),"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2" spans="1:18" x14ac:dyDescent="0.25">
      <c r="A162" t="s">
        <v>72</v>
      </c>
      <c r="B162" s="27">
        <v>0.26348379629629631</v>
      </c>
      <c r="C162">
        <v>17</v>
      </c>
      <c r="D162" s="27">
        <v>2.0601851851851853E-3</v>
      </c>
      <c r="E162" s="27">
        <v>3.5034722222222224E-2</v>
      </c>
      <c r="F162">
        <v>0</v>
      </c>
      <c r="G162" s="27">
        <v>0</v>
      </c>
      <c r="H162" s="27">
        <v>0</v>
      </c>
      <c r="I162" s="34">
        <v>57</v>
      </c>
      <c r="J162" s="27">
        <v>1.1111111111111111E-3</v>
      </c>
      <c r="K162" s="35">
        <v>6.3634259259259265E-2</v>
      </c>
      <c r="L162">
        <v>0</v>
      </c>
      <c r="M162" s="27">
        <v>0</v>
      </c>
      <c r="N162" s="35">
        <v>0</v>
      </c>
      <c r="O162" s="3">
        <v>45953</v>
      </c>
      <c r="P162" t="str">
        <f t="shared" si="4"/>
        <v>October</v>
      </c>
      <c r="Q162" s="3">
        <f t="shared" si="5"/>
        <v>45950</v>
      </c>
      <c r="R162" s="36" t="str" cm="1">
        <f t="array" ref="R162">IFERROR(
  _xlfn.LET(
    _xlpm.cleaned, TRIM(SUBSTITUTE(A162,CHAR(160),"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3" spans="1:18" x14ac:dyDescent="0.25">
      <c r="A163" t="s">
        <v>72</v>
      </c>
      <c r="B163" s="27">
        <v>0.21351851851851852</v>
      </c>
      <c r="C163">
        <v>21</v>
      </c>
      <c r="D163" s="27">
        <v>1.1574074074074073E-3</v>
      </c>
      <c r="E163" s="27">
        <v>2.420138888888889E-2</v>
      </c>
      <c r="F163">
        <v>1</v>
      </c>
      <c r="G163" s="27">
        <v>7.8703703703703705E-4</v>
      </c>
      <c r="H163" s="27">
        <v>7.8703703703703705E-4</v>
      </c>
      <c r="I163" s="34">
        <v>49</v>
      </c>
      <c r="J163" s="27">
        <v>1.3425925925925925E-3</v>
      </c>
      <c r="K163" s="35">
        <v>6.5590277777777775E-2</v>
      </c>
      <c r="L163">
        <v>2</v>
      </c>
      <c r="M163" s="27">
        <v>4.2708333333333331E-3</v>
      </c>
      <c r="N163" s="35">
        <v>8.5416666666666662E-3</v>
      </c>
      <c r="O163" s="3">
        <v>45954</v>
      </c>
      <c r="P163" t="str">
        <f t="shared" si="4"/>
        <v>October</v>
      </c>
      <c r="Q163" s="3">
        <f t="shared" si="5"/>
        <v>45950</v>
      </c>
      <c r="R163" s="36" t="str" cm="1">
        <f t="array" ref="R163">IFERROR(
  _xlfn.LET(
    _xlpm.cleaned, TRIM(SUBSTITUTE(A163,CHAR(160),"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4" spans="1:18" x14ac:dyDescent="0.25">
      <c r="A164" t="s">
        <v>72</v>
      </c>
      <c r="B164" s="27">
        <v>0.30274305555555553</v>
      </c>
      <c r="C164">
        <v>24</v>
      </c>
      <c r="D164" s="27">
        <v>1.9212962962962964E-3</v>
      </c>
      <c r="E164" s="27">
        <v>4.6006944444444448E-2</v>
      </c>
      <c r="F164">
        <v>0</v>
      </c>
      <c r="G164" s="27">
        <v>0</v>
      </c>
      <c r="H164" s="27">
        <v>0</v>
      </c>
      <c r="I164" s="34">
        <v>70</v>
      </c>
      <c r="J164" s="27">
        <v>6.9444444444444447E-4</v>
      </c>
      <c r="K164" s="35">
        <v>4.8888888888888891E-2</v>
      </c>
      <c r="L164">
        <v>2</v>
      </c>
      <c r="M164" s="27">
        <v>5.2430555555555555E-3</v>
      </c>
      <c r="N164" s="35">
        <v>1.0486111111111111E-2</v>
      </c>
      <c r="O164" s="3">
        <v>45957</v>
      </c>
      <c r="P164" t="str">
        <f t="shared" si="4"/>
        <v>October</v>
      </c>
      <c r="Q164" s="3">
        <f t="shared" si="5"/>
        <v>45957</v>
      </c>
      <c r="R164" s="36" t="str" cm="1">
        <f t="array" ref="R164">IFERROR(
  _xlfn.LET(
    _xlpm.cleaned, TRIM(SUBSTITUTE(A164,CHAR(160),"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5" spans="1:18" x14ac:dyDescent="0.25">
      <c r="A165" t="s">
        <v>72</v>
      </c>
      <c r="B165" s="27">
        <v>0.24239583333333334</v>
      </c>
      <c r="C165">
        <v>16</v>
      </c>
      <c r="D165" s="27">
        <v>1.6898148148148148E-3</v>
      </c>
      <c r="E165" s="27">
        <v>2.7013888888888889E-2</v>
      </c>
      <c r="F165">
        <v>1</v>
      </c>
      <c r="G165" s="27">
        <v>5.9027777777777778E-4</v>
      </c>
      <c r="H165" s="27">
        <v>5.9027777777777778E-4</v>
      </c>
      <c r="I165" s="34">
        <v>48</v>
      </c>
      <c r="J165" s="27">
        <v>1.8634259259259259E-3</v>
      </c>
      <c r="K165" s="35">
        <v>8.969907407407407E-2</v>
      </c>
      <c r="L165">
        <v>1</v>
      </c>
      <c r="M165" s="27">
        <v>1.8819444444444444E-2</v>
      </c>
      <c r="N165" s="35">
        <v>1.8819444444444444E-2</v>
      </c>
      <c r="O165" s="3">
        <v>45958</v>
      </c>
      <c r="P165" t="str">
        <f t="shared" si="4"/>
        <v>October</v>
      </c>
      <c r="Q165" s="3">
        <f t="shared" si="5"/>
        <v>45957</v>
      </c>
      <c r="R165" s="36" t="str" cm="1">
        <f t="array" ref="R165">IFERROR(
  _xlfn.LET(
    _xlpm.cleaned, TRIM(SUBSTITUTE(A165,CHAR(160),"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6" spans="1:18" x14ac:dyDescent="0.25">
      <c r="A166" t="s">
        <v>72</v>
      </c>
      <c r="B166" s="27">
        <v>0.26003472222222224</v>
      </c>
      <c r="C166">
        <v>15</v>
      </c>
      <c r="D166" s="27">
        <v>1.8749999999999999E-3</v>
      </c>
      <c r="E166" s="27">
        <v>2.8055555555555556E-2</v>
      </c>
      <c r="F166">
        <v>0</v>
      </c>
      <c r="G166" s="27">
        <v>0</v>
      </c>
      <c r="H166" s="27">
        <v>0</v>
      </c>
      <c r="I166" s="34">
        <v>47</v>
      </c>
      <c r="J166" s="27">
        <v>1.9675925925925924E-3</v>
      </c>
      <c r="K166" s="35">
        <v>9.2303240740740741E-2</v>
      </c>
      <c r="L166">
        <v>1</v>
      </c>
      <c r="M166" s="27">
        <v>3.1134259259259257E-3</v>
      </c>
      <c r="N166" s="35">
        <v>3.1134259259259257E-3</v>
      </c>
      <c r="O166" s="3">
        <v>45959</v>
      </c>
      <c r="P166" t="str">
        <f t="shared" si="4"/>
        <v>October</v>
      </c>
      <c r="Q166" s="3">
        <f t="shared" si="5"/>
        <v>45957</v>
      </c>
      <c r="R166" s="36" t="str" cm="1">
        <f t="array" ref="R166">IFERROR(
  _xlfn.LET(
    _xlpm.cleaned, TRIM(SUBSTITUTE(A166,CHAR(160),"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7" spans="1:18" x14ac:dyDescent="0.25">
      <c r="A167" t="s">
        <v>72</v>
      </c>
      <c r="B167" s="27">
        <v>0.30958333333333332</v>
      </c>
      <c r="C167">
        <v>26</v>
      </c>
      <c r="D167" s="27">
        <v>1.5393518518518519E-3</v>
      </c>
      <c r="E167" s="27">
        <v>4.0069444444444442E-2</v>
      </c>
      <c r="F167">
        <v>0</v>
      </c>
      <c r="G167" s="27">
        <v>0</v>
      </c>
      <c r="H167" s="27">
        <v>0</v>
      </c>
      <c r="I167" s="34">
        <v>73</v>
      </c>
      <c r="J167" s="27">
        <v>9.9537037037037042E-4</v>
      </c>
      <c r="K167" s="35">
        <v>7.2349537037037032E-2</v>
      </c>
      <c r="L167">
        <v>2</v>
      </c>
      <c r="M167" s="27">
        <v>3.0671296296296297E-3</v>
      </c>
      <c r="N167" s="35">
        <v>6.1342592592592594E-3</v>
      </c>
      <c r="O167" s="3">
        <v>45960</v>
      </c>
      <c r="P167" t="str">
        <f t="shared" si="4"/>
        <v>October</v>
      </c>
      <c r="Q167" s="3">
        <f t="shared" si="5"/>
        <v>45957</v>
      </c>
      <c r="R167" s="36" t="str" cm="1">
        <f t="array" ref="R167">IFERROR(
  _xlfn.LET(
    _xlpm.cleaned, TRIM(SUBSTITUTE(A167,CHAR(160),"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8" spans="1:18" x14ac:dyDescent="0.25">
      <c r="A168" t="s">
        <v>72</v>
      </c>
      <c r="B168" s="27">
        <v>0.29546296296296298</v>
      </c>
      <c r="C168">
        <v>13</v>
      </c>
      <c r="D168" s="27">
        <v>1.6782407407407408E-3</v>
      </c>
      <c r="E168" s="27">
        <v>2.1747685185185186E-2</v>
      </c>
      <c r="F168">
        <v>0</v>
      </c>
      <c r="G168" s="27">
        <v>0</v>
      </c>
      <c r="H168" s="27">
        <v>0</v>
      </c>
      <c r="I168" s="34">
        <v>35</v>
      </c>
      <c r="J168" s="27">
        <v>3.7962962962962963E-3</v>
      </c>
      <c r="K168" s="35">
        <v>0.13275462962962964</v>
      </c>
      <c r="L168">
        <v>0</v>
      </c>
      <c r="M168" s="27">
        <v>0</v>
      </c>
      <c r="N168" s="35">
        <v>0</v>
      </c>
      <c r="O168" s="3">
        <v>45961</v>
      </c>
      <c r="P168" t="str">
        <f t="shared" si="4"/>
        <v>October</v>
      </c>
      <c r="Q168" s="3">
        <f t="shared" si="5"/>
        <v>45957</v>
      </c>
      <c r="R168" s="36" t="str" cm="1">
        <f t="array" ref="R168">IFERROR(
  _xlfn.LET(
    _xlpm.cleaned, TRIM(SUBSTITUTE(A168,CHAR(160),"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69" spans="1:18" x14ac:dyDescent="0.25">
      <c r="A169" t="s">
        <v>72</v>
      </c>
      <c r="B169" s="27">
        <v>0.29218749999999999</v>
      </c>
      <c r="C169">
        <v>20</v>
      </c>
      <c r="D169" s="27">
        <v>1.5277777777777779E-3</v>
      </c>
      <c r="E169" s="27">
        <v>3.0462962962962963E-2</v>
      </c>
      <c r="F169">
        <v>0</v>
      </c>
      <c r="G169" s="27">
        <v>0</v>
      </c>
      <c r="H169" s="27">
        <v>0</v>
      </c>
      <c r="I169" s="34">
        <v>57</v>
      </c>
      <c r="J169" s="27">
        <v>1.3078703703703703E-3</v>
      </c>
      <c r="K169" s="35">
        <v>7.480324074074074E-2</v>
      </c>
      <c r="L169">
        <v>0</v>
      </c>
      <c r="M169" s="27">
        <v>0</v>
      </c>
      <c r="N169" s="35">
        <v>0</v>
      </c>
      <c r="O169" s="3">
        <v>45964</v>
      </c>
      <c r="P169" t="str">
        <f t="shared" si="4"/>
        <v>November</v>
      </c>
      <c r="Q169" s="3">
        <f t="shared" si="5"/>
        <v>45964</v>
      </c>
      <c r="R169" s="36" t="str" cm="1">
        <f t="array" ref="R169">IFERROR(
  _xlfn.LET(
    _xlpm.cleaned, TRIM(SUBSTITUTE(A169,CHAR(160),"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70" spans="1:18" x14ac:dyDescent="0.25">
      <c r="A170" t="s">
        <v>72</v>
      </c>
      <c r="B170" s="27">
        <v>0.30255787037037035</v>
      </c>
      <c r="C170">
        <v>15</v>
      </c>
      <c r="D170" s="27">
        <v>1.5046296296296296E-3</v>
      </c>
      <c r="E170" s="27">
        <v>2.2650462962962963E-2</v>
      </c>
      <c r="F170">
        <v>0</v>
      </c>
      <c r="G170" s="27">
        <v>0</v>
      </c>
      <c r="H170" s="27">
        <v>0</v>
      </c>
      <c r="I170" s="34">
        <v>51</v>
      </c>
      <c r="J170" s="27">
        <v>2.6157407407407405E-3</v>
      </c>
      <c r="K170" s="35">
        <v>0.13322916666666668</v>
      </c>
      <c r="L170">
        <v>0</v>
      </c>
      <c r="M170" s="27">
        <v>0</v>
      </c>
      <c r="N170" s="35">
        <v>0</v>
      </c>
      <c r="O170" s="3">
        <v>45965</v>
      </c>
      <c r="P170" t="str">
        <f t="shared" si="4"/>
        <v>November</v>
      </c>
      <c r="Q170" s="3">
        <f t="shared" si="5"/>
        <v>45964</v>
      </c>
      <c r="R170" s="36" t="str" cm="1">
        <f t="array" ref="R170">IFERROR(
  _xlfn.LET(
    _xlpm.cleaned, TRIM(SUBSTITUTE(A170,CHAR(160),"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71" spans="1:18" x14ac:dyDescent="0.25">
      <c r="A171" t="s">
        <v>72</v>
      </c>
      <c r="B171" s="27">
        <v>0.28454861111111113</v>
      </c>
      <c r="C171">
        <v>13</v>
      </c>
      <c r="D171" s="27">
        <v>1.2847222222222223E-3</v>
      </c>
      <c r="E171" s="27">
        <v>1.6701388888888891E-2</v>
      </c>
      <c r="F171">
        <v>0</v>
      </c>
      <c r="G171" s="27">
        <v>0</v>
      </c>
      <c r="H171" s="27">
        <v>0</v>
      </c>
      <c r="I171" s="34">
        <v>49</v>
      </c>
      <c r="J171" s="27">
        <v>1.8981481481481482E-3</v>
      </c>
      <c r="K171" s="35">
        <v>9.3090277777777772E-2</v>
      </c>
      <c r="L171">
        <v>2</v>
      </c>
      <c r="M171" s="27">
        <v>5.9259259259259256E-3</v>
      </c>
      <c r="N171" s="35">
        <v>1.1840277777777778E-2</v>
      </c>
      <c r="O171" s="3">
        <v>45966</v>
      </c>
      <c r="P171" t="str">
        <f t="shared" si="4"/>
        <v>November</v>
      </c>
      <c r="Q171" s="3">
        <f t="shared" si="5"/>
        <v>45964</v>
      </c>
      <c r="R171" s="36" t="str" cm="1">
        <f t="array" ref="R171">IFERROR(
  _xlfn.LET(
    _xlpm.cleaned, TRIM(SUBSTITUTE(A171,CHAR(160),"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72" spans="1:18" x14ac:dyDescent="0.25">
      <c r="A172" t="s">
        <v>72</v>
      </c>
      <c r="B172" s="27">
        <v>0.29689814814814813</v>
      </c>
      <c r="C172">
        <v>15</v>
      </c>
      <c r="D172" s="27">
        <v>1.6782407407407408E-3</v>
      </c>
      <c r="E172" s="27">
        <v>2.5219907407407406E-2</v>
      </c>
      <c r="F172">
        <v>0</v>
      </c>
      <c r="G172" s="27">
        <v>0</v>
      </c>
      <c r="H172" s="27">
        <v>0</v>
      </c>
      <c r="I172" s="34">
        <v>44</v>
      </c>
      <c r="J172" s="27">
        <v>3.1597222222222222E-3</v>
      </c>
      <c r="K172" s="35">
        <v>0.13901620370370371</v>
      </c>
      <c r="L172">
        <v>1</v>
      </c>
      <c r="M172" s="27">
        <v>1.8657407407407407E-2</v>
      </c>
      <c r="N172" s="35">
        <v>1.8657407407407407E-2</v>
      </c>
      <c r="O172" s="3">
        <v>45967</v>
      </c>
      <c r="P172" t="str">
        <f t="shared" si="4"/>
        <v>November</v>
      </c>
      <c r="Q172" s="3">
        <f t="shared" si="5"/>
        <v>45964</v>
      </c>
      <c r="R172" s="36" t="str" cm="1">
        <f t="array" ref="R172">IFERROR(
  _xlfn.LET(
    _xlpm.cleaned, TRIM(SUBSTITUTE(A172,CHAR(160),"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173" spans="1:18" x14ac:dyDescent="0.25">
      <c r="A173" t="s">
        <v>64</v>
      </c>
      <c r="B173" s="27">
        <v>0.32196759259259261</v>
      </c>
      <c r="C173">
        <v>41</v>
      </c>
      <c r="D173" s="27">
        <v>1.736111111111111E-3</v>
      </c>
      <c r="E173" s="27">
        <v>7.0995370370370375E-2</v>
      </c>
      <c r="F173">
        <v>0</v>
      </c>
      <c r="G173" s="27">
        <v>0</v>
      </c>
      <c r="H173" s="27">
        <v>0</v>
      </c>
      <c r="I173" s="34">
        <v>76</v>
      </c>
      <c r="J173" s="27">
        <v>3.1250000000000001E-4</v>
      </c>
      <c r="K173" s="35">
        <v>2.3622685185185184E-2</v>
      </c>
      <c r="L173">
        <v>10</v>
      </c>
      <c r="M173" s="27">
        <v>2.8240740740740739E-3</v>
      </c>
      <c r="N173" s="35">
        <v>2.826388888888889E-2</v>
      </c>
      <c r="O173" s="3">
        <v>45968</v>
      </c>
      <c r="P173" t="str">
        <f t="shared" si="4"/>
        <v>November</v>
      </c>
      <c r="Q173" s="3">
        <f t="shared" si="5"/>
        <v>45964</v>
      </c>
      <c r="R173" s="36" t="str" cm="1">
        <f t="array" ref="R173">IFERROR(
  _xlfn.LET(
    _xlpm.cleaned, TRIM(SUBSTITUTE(A173,CHAR(160),"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74" spans="1:18" x14ac:dyDescent="0.25">
      <c r="A174" t="s">
        <v>64</v>
      </c>
      <c r="B174" s="27">
        <v>0.31622685185185184</v>
      </c>
      <c r="C174">
        <v>45</v>
      </c>
      <c r="D174" s="27">
        <v>2.0833333333333333E-3</v>
      </c>
      <c r="E174" s="27">
        <v>9.3958333333333338E-2</v>
      </c>
      <c r="F174">
        <v>1</v>
      </c>
      <c r="G174" s="27">
        <v>1.9328703703703704E-3</v>
      </c>
      <c r="H174" s="27">
        <v>1.9328703703703704E-3</v>
      </c>
      <c r="I174" s="34">
        <v>75</v>
      </c>
      <c r="J174" s="27">
        <v>3.9351851851851852E-4</v>
      </c>
      <c r="K174" s="35">
        <v>2.9120370370370369E-2</v>
      </c>
      <c r="L174">
        <v>3</v>
      </c>
      <c r="M174" s="27">
        <v>6.4351851851851853E-3</v>
      </c>
      <c r="N174" s="35">
        <v>1.9317129629629629E-2</v>
      </c>
      <c r="O174" s="3">
        <v>45971</v>
      </c>
      <c r="P174" t="str">
        <f t="shared" si="4"/>
        <v>November</v>
      </c>
      <c r="Q174" s="3">
        <f t="shared" si="5"/>
        <v>45971</v>
      </c>
      <c r="R174" s="36" t="str" cm="1">
        <f t="array" ref="R174">IFERROR(
  _xlfn.LET(
    _xlpm.cleaned, TRIM(SUBSTITUTE(A174,CHAR(160),"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75" spans="1:18" x14ac:dyDescent="0.25">
      <c r="A175" t="s">
        <v>64</v>
      </c>
      <c r="B175" s="27">
        <v>0.28902777777777777</v>
      </c>
      <c r="C175">
        <v>35</v>
      </c>
      <c r="D175" s="27">
        <v>2.2685185185185187E-3</v>
      </c>
      <c r="E175" s="27">
        <v>7.9525462962962964E-2</v>
      </c>
      <c r="F175">
        <v>0</v>
      </c>
      <c r="G175" s="27">
        <v>0</v>
      </c>
      <c r="H175" s="27">
        <v>0</v>
      </c>
      <c r="I175" s="34">
        <v>51</v>
      </c>
      <c r="J175" s="27">
        <v>3.7037037037037035E-4</v>
      </c>
      <c r="K175" s="35">
        <v>1.8668981481481481E-2</v>
      </c>
      <c r="L175">
        <v>5</v>
      </c>
      <c r="M175" s="27">
        <v>3.7384259259259259E-3</v>
      </c>
      <c r="N175" s="35">
        <v>1.8692129629629628E-2</v>
      </c>
      <c r="O175" s="3">
        <v>45972</v>
      </c>
      <c r="P175" t="str">
        <f t="shared" si="4"/>
        <v>November</v>
      </c>
      <c r="Q175" s="3">
        <f t="shared" si="5"/>
        <v>45971</v>
      </c>
      <c r="R175" s="36" t="str" cm="1">
        <f t="array" ref="R175">IFERROR(
  _xlfn.LET(
    _xlpm.cleaned, TRIM(SUBSTITUTE(A175,CHAR(160),"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76" spans="1:18" x14ac:dyDescent="0.25">
      <c r="A176" t="s">
        <v>64</v>
      </c>
      <c r="B176" s="27">
        <v>0.31546296296296295</v>
      </c>
      <c r="C176">
        <v>41</v>
      </c>
      <c r="D176" s="27">
        <v>2.1296296296296298E-3</v>
      </c>
      <c r="E176" s="27">
        <v>8.7534722222222222E-2</v>
      </c>
      <c r="F176">
        <v>2</v>
      </c>
      <c r="G176" s="27">
        <v>1.4583333333333334E-3</v>
      </c>
      <c r="H176" s="27">
        <v>2.9166666666666668E-3</v>
      </c>
      <c r="I176" s="34">
        <v>64</v>
      </c>
      <c r="J176" s="27">
        <v>3.1250000000000001E-4</v>
      </c>
      <c r="K176" s="35">
        <v>2.0243055555555556E-2</v>
      </c>
      <c r="L176">
        <v>7</v>
      </c>
      <c r="M176" s="27">
        <v>3.3680555555555556E-3</v>
      </c>
      <c r="N176" s="35">
        <v>2.3599537037037037E-2</v>
      </c>
      <c r="O176" s="3">
        <v>45973</v>
      </c>
      <c r="P176" t="str">
        <f t="shared" si="4"/>
        <v>November</v>
      </c>
      <c r="Q176" s="3">
        <f t="shared" si="5"/>
        <v>45971</v>
      </c>
      <c r="R176" s="36" t="str" cm="1">
        <f t="array" ref="R176">IFERROR(
  _xlfn.LET(
    _xlpm.cleaned, TRIM(SUBSTITUTE(A176,CHAR(160),"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77" spans="1:18" x14ac:dyDescent="0.25">
      <c r="A177" t="s">
        <v>64</v>
      </c>
      <c r="B177" s="27">
        <v>0.31855324074074076</v>
      </c>
      <c r="C177">
        <v>35</v>
      </c>
      <c r="D177" s="27">
        <v>2.0486111111111113E-3</v>
      </c>
      <c r="E177" s="27">
        <v>7.1874999999999994E-2</v>
      </c>
      <c r="F177">
        <v>0</v>
      </c>
      <c r="G177" s="27">
        <v>0</v>
      </c>
      <c r="H177" s="27">
        <v>0</v>
      </c>
      <c r="I177" s="34">
        <v>61</v>
      </c>
      <c r="J177" s="27">
        <v>3.0092592592592595E-4</v>
      </c>
      <c r="K177" s="35">
        <v>1.8530092592592591E-2</v>
      </c>
      <c r="L177">
        <v>10</v>
      </c>
      <c r="M177" s="27">
        <v>4.3750000000000004E-3</v>
      </c>
      <c r="N177" s="35">
        <v>4.3749999999999997E-2</v>
      </c>
      <c r="O177" s="3">
        <v>45974</v>
      </c>
      <c r="P177" t="str">
        <f t="shared" si="4"/>
        <v>November</v>
      </c>
      <c r="Q177" s="3">
        <f t="shared" si="5"/>
        <v>45971</v>
      </c>
      <c r="R177" s="36" t="str" cm="1">
        <f t="array" ref="R177">IFERROR(
  _xlfn.LET(
    _xlpm.cleaned, TRIM(SUBSTITUTE(A177,CHAR(160),"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78" spans="1:18" x14ac:dyDescent="0.25">
      <c r="A178" t="s">
        <v>64</v>
      </c>
      <c r="B178" s="27">
        <v>0.32077546296296294</v>
      </c>
      <c r="C178">
        <v>33</v>
      </c>
      <c r="D178" s="27">
        <v>1.7708333333333332E-3</v>
      </c>
      <c r="E178" s="27">
        <v>5.8437500000000003E-2</v>
      </c>
      <c r="F178">
        <v>1</v>
      </c>
      <c r="G178" s="27">
        <v>1.9675925925925926E-4</v>
      </c>
      <c r="H178" s="27">
        <v>1.9675925925925926E-4</v>
      </c>
      <c r="I178" s="34">
        <v>76</v>
      </c>
      <c r="J178" s="27">
        <v>3.5879629629629629E-4</v>
      </c>
      <c r="K178" s="35">
        <v>2.7152777777777779E-2</v>
      </c>
      <c r="L178">
        <v>6</v>
      </c>
      <c r="M178" s="27">
        <v>2.5694444444444445E-3</v>
      </c>
      <c r="N178" s="35">
        <v>1.5405092592592592E-2</v>
      </c>
      <c r="O178" s="3">
        <v>45975</v>
      </c>
      <c r="P178" t="str">
        <f t="shared" si="4"/>
        <v>November</v>
      </c>
      <c r="Q178" s="3">
        <f t="shared" si="5"/>
        <v>45971</v>
      </c>
      <c r="R178" s="36" t="str" cm="1">
        <f t="array" ref="R178">IFERROR(
  _xlfn.LET(
    _xlpm.cleaned, TRIM(SUBSTITUTE(A178,CHAR(160),"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79" spans="1:18" x14ac:dyDescent="0.25">
      <c r="A179" t="s">
        <v>64</v>
      </c>
      <c r="B179" s="27">
        <v>0.32166666666666666</v>
      </c>
      <c r="C179">
        <v>58</v>
      </c>
      <c r="D179" s="27">
        <v>1.8634259259259259E-3</v>
      </c>
      <c r="E179" s="27">
        <v>0.10815972222222223</v>
      </c>
      <c r="F179">
        <v>0</v>
      </c>
      <c r="G179" s="27">
        <v>0</v>
      </c>
      <c r="H179" s="27">
        <v>0</v>
      </c>
      <c r="I179" s="34">
        <v>75</v>
      </c>
      <c r="J179" s="27">
        <v>2.6620370370370372E-4</v>
      </c>
      <c r="K179" s="35">
        <v>1.9675925925925927E-2</v>
      </c>
      <c r="L179">
        <v>10</v>
      </c>
      <c r="M179" s="27">
        <v>1.9675925925925924E-3</v>
      </c>
      <c r="N179" s="35">
        <v>1.9618055555555555E-2</v>
      </c>
      <c r="O179" s="3">
        <v>45978</v>
      </c>
      <c r="P179" t="str">
        <f t="shared" si="4"/>
        <v>November</v>
      </c>
      <c r="Q179" s="3">
        <f t="shared" si="5"/>
        <v>45978</v>
      </c>
      <c r="R179" s="36" t="str" cm="1">
        <f t="array" ref="R179">IFERROR(
  _xlfn.LET(
    _xlpm.cleaned, TRIM(SUBSTITUTE(A179,CHAR(160),"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80" spans="1:18" x14ac:dyDescent="0.25">
      <c r="A180" t="s">
        <v>64</v>
      </c>
      <c r="B180" s="27">
        <v>0.32299768518518518</v>
      </c>
      <c r="C180">
        <v>48</v>
      </c>
      <c r="D180" s="27">
        <v>2.2337962962962962E-3</v>
      </c>
      <c r="E180" s="27">
        <v>0.10695601851851852</v>
      </c>
      <c r="F180">
        <v>0</v>
      </c>
      <c r="G180" s="27">
        <v>0</v>
      </c>
      <c r="H180" s="27">
        <v>0</v>
      </c>
      <c r="I180" s="34">
        <v>70</v>
      </c>
      <c r="J180" s="27">
        <v>4.2824074074074075E-4</v>
      </c>
      <c r="K180" s="35">
        <v>2.9618055555555557E-2</v>
      </c>
      <c r="L180">
        <v>9</v>
      </c>
      <c r="M180" s="27">
        <v>2.685185185185185E-3</v>
      </c>
      <c r="N180" s="35">
        <v>2.4131944444444445E-2</v>
      </c>
      <c r="O180" s="3">
        <v>45979</v>
      </c>
      <c r="P180" t="str">
        <f t="shared" si="4"/>
        <v>November</v>
      </c>
      <c r="Q180" s="3">
        <f t="shared" si="5"/>
        <v>45978</v>
      </c>
      <c r="R180" s="36" t="str" cm="1">
        <f t="array" ref="R180">IFERROR(
  _xlfn.LET(
    _xlpm.cleaned, TRIM(SUBSTITUTE(A180,CHAR(160),"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81" spans="1:18" x14ac:dyDescent="0.25">
      <c r="A181" t="s">
        <v>64</v>
      </c>
      <c r="B181" s="27">
        <v>0.29375000000000001</v>
      </c>
      <c r="C181">
        <v>32</v>
      </c>
      <c r="D181" s="27">
        <v>2.5810185185185185E-3</v>
      </c>
      <c r="E181" s="27">
        <v>8.2500000000000004E-2</v>
      </c>
      <c r="F181">
        <v>3</v>
      </c>
      <c r="G181" s="27">
        <v>9.1435185185185185E-4</v>
      </c>
      <c r="H181" s="27">
        <v>2.7546296296296294E-3</v>
      </c>
      <c r="I181" s="34">
        <v>59</v>
      </c>
      <c r="J181" s="27">
        <v>4.5138888888888887E-4</v>
      </c>
      <c r="K181" s="35">
        <v>2.6689814814814816E-2</v>
      </c>
      <c r="L181">
        <v>7</v>
      </c>
      <c r="M181" s="27">
        <v>2.1990740740740742E-3</v>
      </c>
      <c r="N181" s="35">
        <v>1.5405092592592592E-2</v>
      </c>
      <c r="O181" s="3">
        <v>45980</v>
      </c>
      <c r="P181" t="str">
        <f t="shared" si="4"/>
        <v>November</v>
      </c>
      <c r="Q181" s="3">
        <f t="shared" si="5"/>
        <v>45978</v>
      </c>
      <c r="R181" s="36" t="str" cm="1">
        <f t="array" ref="R181">IFERROR(
  _xlfn.LET(
    _xlpm.cleaned, TRIM(SUBSTITUTE(A181,CHAR(160),"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82" spans="1:18" x14ac:dyDescent="0.25">
      <c r="A182" t="s">
        <v>64</v>
      </c>
      <c r="B182" s="27">
        <v>0.32770833333333332</v>
      </c>
      <c r="C182">
        <v>24</v>
      </c>
      <c r="D182" s="27">
        <v>2.1296296296296298E-3</v>
      </c>
      <c r="E182" s="27">
        <v>5.1145833333333335E-2</v>
      </c>
      <c r="F182">
        <v>1</v>
      </c>
      <c r="G182" s="27">
        <v>1.4351851851851852E-3</v>
      </c>
      <c r="H182" s="27">
        <v>1.4351851851851852E-3</v>
      </c>
      <c r="I182" s="34">
        <v>51</v>
      </c>
      <c r="J182" s="27">
        <v>3.3564814814814812E-4</v>
      </c>
      <c r="K182" s="35">
        <v>1.6898148148148148E-2</v>
      </c>
      <c r="L182">
        <v>11</v>
      </c>
      <c r="M182" s="27">
        <v>2.7662037037037039E-3</v>
      </c>
      <c r="N182" s="35">
        <v>3.0393518518518518E-2</v>
      </c>
      <c r="O182" s="3">
        <v>45981</v>
      </c>
      <c r="P182" t="str">
        <f t="shared" si="4"/>
        <v>November</v>
      </c>
      <c r="Q182" s="3">
        <f t="shared" si="5"/>
        <v>45978</v>
      </c>
      <c r="R182" s="36" t="str" cm="1">
        <f t="array" ref="R182">IFERROR(
  _xlfn.LET(
    _xlpm.cleaned, TRIM(SUBSTITUTE(A182,CHAR(160),"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183" spans="1:18" x14ac:dyDescent="0.25">
      <c r="A183" t="s">
        <v>65</v>
      </c>
      <c r="B183" s="27">
        <v>3.4722222222222222E-5</v>
      </c>
      <c r="C183">
        <v>0</v>
      </c>
      <c r="D183" s="27">
        <v>0</v>
      </c>
      <c r="E183" s="27">
        <v>0</v>
      </c>
      <c r="F183">
        <v>0</v>
      </c>
      <c r="G183" s="27">
        <v>0</v>
      </c>
      <c r="H183" s="27">
        <v>0</v>
      </c>
      <c r="I183" s="34">
        <v>1</v>
      </c>
      <c r="J183" s="27">
        <v>3.4722222222222222E-5</v>
      </c>
      <c r="K183" s="35">
        <v>3.4722222222222222E-5</v>
      </c>
      <c r="L183">
        <v>0</v>
      </c>
      <c r="M183" s="27">
        <v>0</v>
      </c>
      <c r="N183" s="35">
        <v>0</v>
      </c>
      <c r="O183" s="3">
        <v>45978</v>
      </c>
      <c r="P183" t="str">
        <f t="shared" si="4"/>
        <v>November</v>
      </c>
      <c r="Q183" s="3">
        <f t="shared" si="5"/>
        <v>45978</v>
      </c>
      <c r="R183" s="36" t="str" cm="1">
        <f t="array" ref="R183">IFERROR(
  _xlfn.LET(
    _xlpm.cleaned, TRIM(SUBSTITUTE(A183,CHAR(160),"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Leah</v>
      </c>
    </row>
    <row r="184" spans="1:18" x14ac:dyDescent="0.25">
      <c r="A184" t="s">
        <v>66</v>
      </c>
      <c r="B184" s="27">
        <v>0.36277777777777775</v>
      </c>
      <c r="C184">
        <v>17</v>
      </c>
      <c r="D184" s="27">
        <v>1.4467592592592592E-3</v>
      </c>
      <c r="E184" s="27">
        <v>2.4548611111111111E-2</v>
      </c>
      <c r="F184">
        <v>1</v>
      </c>
      <c r="G184" s="27">
        <v>1.1342592592592593E-3</v>
      </c>
      <c r="H184" s="27">
        <v>1.1342592592592593E-3</v>
      </c>
      <c r="I184" s="34">
        <v>18</v>
      </c>
      <c r="J184" s="27">
        <v>2.3148148148148149E-4</v>
      </c>
      <c r="K184" s="35">
        <v>4.2476851851851851E-3</v>
      </c>
      <c r="L184">
        <v>15</v>
      </c>
      <c r="M184" s="27">
        <v>2.0393518518518519E-2</v>
      </c>
      <c r="N184" s="35">
        <v>0.30585648148148148</v>
      </c>
      <c r="O184" s="3">
        <v>45968</v>
      </c>
      <c r="P184" t="str">
        <f t="shared" si="4"/>
        <v>November</v>
      </c>
      <c r="Q184" s="3">
        <f t="shared" si="5"/>
        <v>45964</v>
      </c>
      <c r="R184" s="36" t="str" cm="1">
        <f t="array" ref="R184">IFERROR(
  _xlfn.LET(
    _xlpm.cleaned, TRIM(SUBSTITUTE(A184,CHAR(160),"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85" spans="1:18" x14ac:dyDescent="0.25">
      <c r="A185" t="s">
        <v>66</v>
      </c>
      <c r="B185" s="27">
        <v>0.2913310185185185</v>
      </c>
      <c r="C185">
        <v>23</v>
      </c>
      <c r="D185" s="27">
        <v>2.0949074074074073E-3</v>
      </c>
      <c r="E185" s="27">
        <v>4.8148148148148148E-2</v>
      </c>
      <c r="F185">
        <v>0</v>
      </c>
      <c r="G185" s="27">
        <v>0</v>
      </c>
      <c r="H185" s="27">
        <v>0</v>
      </c>
      <c r="I185" s="34">
        <v>24</v>
      </c>
      <c r="J185" s="27">
        <v>2.6620370370370372E-4</v>
      </c>
      <c r="K185" s="35">
        <v>6.3773148148148148E-3</v>
      </c>
      <c r="L185">
        <v>21</v>
      </c>
      <c r="M185" s="27">
        <v>7.3032407407407404E-3</v>
      </c>
      <c r="N185" s="35">
        <v>0.15334490740740742</v>
      </c>
      <c r="O185" s="3">
        <v>45971</v>
      </c>
      <c r="P185" t="str">
        <f t="shared" si="4"/>
        <v>November</v>
      </c>
      <c r="Q185" s="3">
        <f t="shared" si="5"/>
        <v>45971</v>
      </c>
      <c r="R185" s="36" t="str" cm="1">
        <f t="array" ref="R185">IFERROR(
  _xlfn.LET(
    _xlpm.cleaned, TRIM(SUBSTITUTE(A185,CHAR(160),"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86" spans="1:18" x14ac:dyDescent="0.25">
      <c r="A186" t="s">
        <v>66</v>
      </c>
      <c r="B186" s="27">
        <v>0.3790162037037037</v>
      </c>
      <c r="C186">
        <v>26</v>
      </c>
      <c r="D186" s="27">
        <v>1.9907407407407408E-3</v>
      </c>
      <c r="E186" s="27">
        <v>5.1886574074074071E-2</v>
      </c>
      <c r="F186">
        <v>0</v>
      </c>
      <c r="G186" s="27">
        <v>0</v>
      </c>
      <c r="H186" s="27">
        <v>0</v>
      </c>
      <c r="I186" s="34">
        <v>34</v>
      </c>
      <c r="J186" s="27">
        <v>2.199074074074074E-4</v>
      </c>
      <c r="K186" s="35">
        <v>7.3263888888888892E-3</v>
      </c>
      <c r="L186">
        <v>27</v>
      </c>
      <c r="M186" s="27">
        <v>6.4467592592592588E-3</v>
      </c>
      <c r="N186" s="35">
        <v>0.17418981481481483</v>
      </c>
      <c r="O186" s="3">
        <v>45972</v>
      </c>
      <c r="P186" t="str">
        <f t="shared" si="4"/>
        <v>November</v>
      </c>
      <c r="Q186" s="3">
        <f t="shared" si="5"/>
        <v>45971</v>
      </c>
      <c r="R186" s="36" t="str" cm="1">
        <f t="array" ref="R186">IFERROR(
  _xlfn.LET(
    _xlpm.cleaned, TRIM(SUBSTITUTE(A186,CHAR(160),"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87" spans="1:18" x14ac:dyDescent="0.25">
      <c r="A187" t="s">
        <v>66</v>
      </c>
      <c r="B187" s="27">
        <v>0.35813657407407407</v>
      </c>
      <c r="C187">
        <v>33</v>
      </c>
      <c r="D187" s="27">
        <v>1.5856481481481481E-3</v>
      </c>
      <c r="E187" s="27">
        <v>5.2511574074074072E-2</v>
      </c>
      <c r="F187">
        <v>0</v>
      </c>
      <c r="G187" s="27">
        <v>0</v>
      </c>
      <c r="H187" s="27">
        <v>0</v>
      </c>
      <c r="I187" s="34">
        <v>35</v>
      </c>
      <c r="J187" s="27">
        <v>2.3148148148148149E-4</v>
      </c>
      <c r="K187" s="35">
        <v>8.2523148148148148E-3</v>
      </c>
      <c r="L187">
        <v>17</v>
      </c>
      <c r="M187" s="27">
        <v>8.0439814814814818E-3</v>
      </c>
      <c r="N187" s="35">
        <v>0.13681712962962964</v>
      </c>
      <c r="O187" s="3">
        <v>45973</v>
      </c>
      <c r="P187" t="str">
        <f t="shared" si="4"/>
        <v>November</v>
      </c>
      <c r="Q187" s="3">
        <f t="shared" si="5"/>
        <v>45971</v>
      </c>
      <c r="R187" s="36" t="str" cm="1">
        <f t="array" ref="R187">IFERROR(
  _xlfn.LET(
    _xlpm.cleaned, TRIM(SUBSTITUTE(A187,CHAR(160),"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88" spans="1:18" x14ac:dyDescent="0.25">
      <c r="A188" t="s">
        <v>66</v>
      </c>
      <c r="B188" s="27">
        <v>0.30846064814814816</v>
      </c>
      <c r="C188">
        <v>15</v>
      </c>
      <c r="D188" s="27">
        <v>1.9097222222222222E-3</v>
      </c>
      <c r="E188" s="27">
        <v>2.8564814814814814E-2</v>
      </c>
      <c r="F188">
        <v>1</v>
      </c>
      <c r="G188" s="27">
        <v>2.1875000000000002E-3</v>
      </c>
      <c r="H188" s="27">
        <v>2.1875000000000002E-3</v>
      </c>
      <c r="I188" s="34">
        <v>18</v>
      </c>
      <c r="J188" s="27">
        <v>1.7361111111111112E-4</v>
      </c>
      <c r="K188" s="35">
        <v>3.1828703703703702E-3</v>
      </c>
      <c r="L188">
        <v>15</v>
      </c>
      <c r="M188" s="27">
        <v>1.2569444444444444E-2</v>
      </c>
      <c r="N188" s="35">
        <v>0.18846064814814814</v>
      </c>
      <c r="O188" s="3">
        <v>45974</v>
      </c>
      <c r="P188" t="str">
        <f t="shared" si="4"/>
        <v>November</v>
      </c>
      <c r="Q188" s="3">
        <f t="shared" si="5"/>
        <v>45971</v>
      </c>
      <c r="R188" s="36" t="str" cm="1">
        <f t="array" ref="R188">IFERROR(
  _xlfn.LET(
    _xlpm.cleaned, TRIM(SUBSTITUTE(A188,CHAR(160),"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89" spans="1:18" x14ac:dyDescent="0.25">
      <c r="A189" t="s">
        <v>66</v>
      </c>
      <c r="B189" s="27">
        <v>0.3555787037037037</v>
      </c>
      <c r="C189">
        <v>32</v>
      </c>
      <c r="D189" s="27">
        <v>1.8749999999999999E-3</v>
      </c>
      <c r="E189" s="27">
        <v>5.9814814814814814E-2</v>
      </c>
      <c r="F189">
        <v>1</v>
      </c>
      <c r="G189" s="27">
        <v>6.2500000000000001E-4</v>
      </c>
      <c r="H189" s="27">
        <v>6.2500000000000001E-4</v>
      </c>
      <c r="I189" s="34">
        <v>32</v>
      </c>
      <c r="J189" s="27">
        <v>2.6620370370370372E-4</v>
      </c>
      <c r="K189" s="35">
        <v>8.6805555555555559E-3</v>
      </c>
      <c r="L189">
        <v>20</v>
      </c>
      <c r="M189" s="27">
        <v>6.3657407407407404E-3</v>
      </c>
      <c r="N189" s="35">
        <v>0.12721064814814814</v>
      </c>
      <c r="O189" s="3">
        <v>45975</v>
      </c>
      <c r="P189" t="str">
        <f t="shared" si="4"/>
        <v>November</v>
      </c>
      <c r="Q189" s="3">
        <f t="shared" si="5"/>
        <v>45971</v>
      </c>
      <c r="R189" s="36" t="str" cm="1">
        <f t="array" ref="R189">IFERROR(
  _xlfn.LET(
    _xlpm.cleaned, TRIM(SUBSTITUTE(A189,CHAR(160),"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90" spans="1:18" x14ac:dyDescent="0.25">
      <c r="A190" t="s">
        <v>66</v>
      </c>
      <c r="B190" s="27">
        <v>0.10887731481481482</v>
      </c>
      <c r="C190">
        <v>12</v>
      </c>
      <c r="D190" s="27">
        <v>2.3032407407407407E-3</v>
      </c>
      <c r="E190" s="27">
        <v>2.7581018518518519E-2</v>
      </c>
      <c r="F190">
        <v>1</v>
      </c>
      <c r="G190" s="27">
        <v>1.6203703703703703E-3</v>
      </c>
      <c r="H190" s="27">
        <v>1.6203703703703703E-3</v>
      </c>
      <c r="I190" s="34">
        <v>13</v>
      </c>
      <c r="J190" s="27">
        <v>2.4305555555555555E-4</v>
      </c>
      <c r="K190" s="35">
        <v>3.2291666666666666E-3</v>
      </c>
      <c r="L190">
        <v>8</v>
      </c>
      <c r="M190" s="27">
        <v>4.3055555555555555E-3</v>
      </c>
      <c r="N190" s="35">
        <v>3.4479166666666665E-2</v>
      </c>
      <c r="O190" s="3">
        <v>45978</v>
      </c>
      <c r="P190" t="str">
        <f t="shared" si="4"/>
        <v>November</v>
      </c>
      <c r="Q190" s="3">
        <f t="shared" si="5"/>
        <v>45978</v>
      </c>
      <c r="R190" s="36" t="str" cm="1">
        <f t="array" ref="R190">IFERROR(
  _xlfn.LET(
    _xlpm.cleaned, TRIM(SUBSTITUTE(A190,CHAR(160),"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91" spans="1:18" x14ac:dyDescent="0.25">
      <c r="A191" t="s">
        <v>66</v>
      </c>
      <c r="B191" s="27">
        <v>0.33281250000000001</v>
      </c>
      <c r="C191">
        <v>37</v>
      </c>
      <c r="D191" s="27">
        <v>2.1064814814814813E-3</v>
      </c>
      <c r="E191" s="27">
        <v>7.795138888888889E-2</v>
      </c>
      <c r="F191">
        <v>0</v>
      </c>
      <c r="G191" s="27">
        <v>0</v>
      </c>
      <c r="H191" s="27">
        <v>0</v>
      </c>
      <c r="I191" s="34">
        <v>41</v>
      </c>
      <c r="J191" s="27">
        <v>2.8935185185185184E-4</v>
      </c>
      <c r="K191" s="35">
        <v>1.1747685185185186E-2</v>
      </c>
      <c r="L191">
        <v>18</v>
      </c>
      <c r="M191" s="27">
        <v>6.2152777777777779E-3</v>
      </c>
      <c r="N191" s="35">
        <v>0.11189814814814815</v>
      </c>
      <c r="O191" s="3">
        <v>45979</v>
      </c>
      <c r="P191" t="str">
        <f t="shared" si="4"/>
        <v>November</v>
      </c>
      <c r="Q191" s="3">
        <f t="shared" si="5"/>
        <v>45978</v>
      </c>
      <c r="R191" s="36" t="str" cm="1">
        <f t="array" ref="R191">IFERROR(
  _xlfn.LET(
    _xlpm.cleaned, TRIM(SUBSTITUTE(A191,CHAR(160),"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92" spans="1:18" x14ac:dyDescent="0.25">
      <c r="A192" t="s">
        <v>66</v>
      </c>
      <c r="B192" s="27">
        <v>0.32178240740740743</v>
      </c>
      <c r="C192">
        <v>32</v>
      </c>
      <c r="D192" s="27">
        <v>1.6782407407407408E-3</v>
      </c>
      <c r="E192" s="27">
        <v>5.3726851851851852E-2</v>
      </c>
      <c r="F192">
        <v>2</v>
      </c>
      <c r="G192" s="27">
        <v>1.261574074074074E-3</v>
      </c>
      <c r="H192" s="27">
        <v>2.5231481481481481E-3</v>
      </c>
      <c r="I192" s="34">
        <v>37</v>
      </c>
      <c r="J192" s="27">
        <v>2.199074074074074E-4</v>
      </c>
      <c r="K192" s="35">
        <v>8.2060185185185187E-3</v>
      </c>
      <c r="L192">
        <v>25</v>
      </c>
      <c r="M192" s="27">
        <v>4.9305555555555552E-3</v>
      </c>
      <c r="N192" s="35">
        <v>0.12336805555555555</v>
      </c>
      <c r="O192" s="3">
        <v>45980</v>
      </c>
      <c r="P192" t="str">
        <f t="shared" si="4"/>
        <v>November</v>
      </c>
      <c r="Q192" s="3">
        <f t="shared" si="5"/>
        <v>45978</v>
      </c>
      <c r="R192" s="36" t="str" cm="1">
        <f t="array" ref="R192">IFERROR(
  _xlfn.LET(
    _xlpm.cleaned, TRIM(SUBSTITUTE(A192,CHAR(160),"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93" spans="1:18" x14ac:dyDescent="0.25">
      <c r="A193" t="s">
        <v>66</v>
      </c>
      <c r="B193" s="27">
        <v>0.35537037037037039</v>
      </c>
      <c r="C193">
        <v>30</v>
      </c>
      <c r="D193" s="27">
        <v>1.4814814814814814E-3</v>
      </c>
      <c r="E193" s="27">
        <v>4.4583333333333336E-2</v>
      </c>
      <c r="F193">
        <v>0</v>
      </c>
      <c r="G193" s="27">
        <v>0</v>
      </c>
      <c r="H193" s="27">
        <v>0</v>
      </c>
      <c r="I193" s="34">
        <v>34</v>
      </c>
      <c r="J193" s="27">
        <v>2.6620370370370372E-4</v>
      </c>
      <c r="K193" s="35">
        <v>8.9120370370370378E-3</v>
      </c>
      <c r="L193">
        <v>22</v>
      </c>
      <c r="M193" s="27">
        <v>3.8888888888888888E-3</v>
      </c>
      <c r="N193" s="35">
        <v>8.5462962962962963E-2</v>
      </c>
      <c r="O193" s="3">
        <v>45981</v>
      </c>
      <c r="P193" t="str">
        <f t="shared" si="4"/>
        <v>November</v>
      </c>
      <c r="Q193" s="3">
        <f t="shared" si="5"/>
        <v>45978</v>
      </c>
      <c r="R193" s="36" t="str" cm="1">
        <f t="array" ref="R193">IFERROR(
  _xlfn.LET(
    _xlpm.cleaned, TRIM(SUBSTITUTE(A193,CHAR(160),"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194" spans="1:18" x14ac:dyDescent="0.25">
      <c r="A194" t="s">
        <v>67</v>
      </c>
      <c r="B194" s="27">
        <v>0.17927083333333332</v>
      </c>
      <c r="C194">
        <v>1</v>
      </c>
      <c r="D194" s="27">
        <v>7.5231481481481482E-4</v>
      </c>
      <c r="E194" s="27">
        <v>7.5231481481481482E-4</v>
      </c>
      <c r="F194">
        <v>0</v>
      </c>
      <c r="G194" s="27">
        <v>0</v>
      </c>
      <c r="H194" s="27">
        <v>0</v>
      </c>
      <c r="I194" s="34">
        <v>2</v>
      </c>
      <c r="J194" s="27">
        <v>1.9675925925925926E-4</v>
      </c>
      <c r="K194" s="35">
        <v>3.9351851851851852E-4</v>
      </c>
      <c r="L194">
        <v>1</v>
      </c>
      <c r="M194" s="27">
        <v>0.17798611111111112</v>
      </c>
      <c r="N194" s="35">
        <v>0.17798611111111112</v>
      </c>
      <c r="O194" s="3">
        <v>45968</v>
      </c>
      <c r="P194" t="str">
        <f t="shared" si="4"/>
        <v>November</v>
      </c>
      <c r="Q194" s="3">
        <f t="shared" si="5"/>
        <v>45964</v>
      </c>
      <c r="R194" s="36" t="str" cm="1">
        <f t="array" ref="R194">IFERROR(
  _xlfn.LET(
    _xlpm.cleaned, TRIM(SUBSTITUTE(A194,CHAR(160),"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195" spans="1:18" x14ac:dyDescent="0.25">
      <c r="A195" t="s">
        <v>67</v>
      </c>
      <c r="B195" s="27">
        <v>0.33579861111111109</v>
      </c>
      <c r="C195">
        <v>18</v>
      </c>
      <c r="D195" s="27">
        <v>1.2847222222222223E-3</v>
      </c>
      <c r="E195" s="27">
        <v>2.3043981481481481E-2</v>
      </c>
      <c r="F195">
        <v>0</v>
      </c>
      <c r="G195" s="27">
        <v>0</v>
      </c>
      <c r="H195" s="27">
        <v>0</v>
      </c>
      <c r="I195" s="34">
        <v>34</v>
      </c>
      <c r="J195" s="27">
        <v>3.5532407407407409E-3</v>
      </c>
      <c r="K195" s="35">
        <v>0.12086805555555556</v>
      </c>
      <c r="L195">
        <v>2</v>
      </c>
      <c r="M195" s="27">
        <v>4.9004629629629627E-2</v>
      </c>
      <c r="N195" s="35">
        <v>9.8009259259259254E-2</v>
      </c>
      <c r="O195" s="3">
        <v>45971</v>
      </c>
      <c r="P195" t="str">
        <f t="shared" si="4"/>
        <v>November</v>
      </c>
      <c r="Q195" s="3">
        <f t="shared" si="5"/>
        <v>45971</v>
      </c>
      <c r="R195" s="36" t="str" cm="1">
        <f t="array" ref="R195">IFERROR(
  _xlfn.LET(
    _xlpm.cleaned, TRIM(SUBSTITUTE(A195,CHAR(160),"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196" spans="1:18" x14ac:dyDescent="0.25">
      <c r="A196" t="s">
        <v>67</v>
      </c>
      <c r="B196" s="27">
        <v>0.16266203703703705</v>
      </c>
      <c r="C196">
        <v>13</v>
      </c>
      <c r="D196" s="27">
        <v>1.7708333333333332E-3</v>
      </c>
      <c r="E196" s="27">
        <v>2.3032407407407408E-2</v>
      </c>
      <c r="F196">
        <v>1</v>
      </c>
      <c r="G196" s="27">
        <v>5.6712962962962967E-4</v>
      </c>
      <c r="H196" s="27">
        <v>5.6712962962962967E-4</v>
      </c>
      <c r="I196" s="34">
        <v>22</v>
      </c>
      <c r="J196" s="27">
        <v>4.2824074074074075E-4</v>
      </c>
      <c r="K196" s="35">
        <v>9.3518518518518525E-3</v>
      </c>
      <c r="L196">
        <v>5</v>
      </c>
      <c r="M196" s="27">
        <v>9.5370370370370366E-3</v>
      </c>
      <c r="N196" s="35">
        <v>4.7662037037037037E-2</v>
      </c>
      <c r="O196" s="3">
        <v>45972</v>
      </c>
      <c r="P196" t="str">
        <f t="shared" ref="P196:P241" si="6">TEXT(O196,"mmmm")</f>
        <v>November</v>
      </c>
      <c r="Q196" s="3">
        <f t="shared" ref="Q196:Q241" si="7">O196-WEEKDAY(O196,1)+2</f>
        <v>45971</v>
      </c>
      <c r="R196" s="36" t="str" cm="1">
        <f t="array" ref="R196">IFERROR(
  _xlfn.LET(
    _xlpm.cleaned, TRIM(SUBSTITUTE(A196,CHAR(160),"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197" spans="1:18" x14ac:dyDescent="0.25">
      <c r="A197" t="s">
        <v>67</v>
      </c>
      <c r="B197" s="27">
        <v>0.32575231481481481</v>
      </c>
      <c r="C197">
        <v>28</v>
      </c>
      <c r="D197" s="27">
        <v>2.2337962962962962E-3</v>
      </c>
      <c r="E197" s="27">
        <v>6.2407407407407404E-2</v>
      </c>
      <c r="F197">
        <v>1</v>
      </c>
      <c r="G197" s="27">
        <v>1.8287037037037037E-3</v>
      </c>
      <c r="H197" s="27">
        <v>1.8287037037037037E-3</v>
      </c>
      <c r="I197" s="34">
        <v>35</v>
      </c>
      <c r="J197" s="27">
        <v>1.2268518518518518E-3</v>
      </c>
      <c r="K197" s="35">
        <v>4.2893518518518518E-2</v>
      </c>
      <c r="L197">
        <v>5</v>
      </c>
      <c r="M197" s="27">
        <v>4.0856481481481481E-3</v>
      </c>
      <c r="N197" s="35">
        <v>2.0439814814814813E-2</v>
      </c>
      <c r="O197" s="3">
        <v>45974</v>
      </c>
      <c r="P197" t="str">
        <f t="shared" si="6"/>
        <v>November</v>
      </c>
      <c r="Q197" s="3">
        <f t="shared" si="7"/>
        <v>45971</v>
      </c>
      <c r="R197" s="36" t="str" cm="1">
        <f t="array" ref="R197">IFERROR(
  _xlfn.LET(
    _xlpm.cleaned, TRIM(SUBSTITUTE(A197,CHAR(160),"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198" spans="1:18" x14ac:dyDescent="0.25">
      <c r="A198" t="s">
        <v>67</v>
      </c>
      <c r="B198" s="27">
        <v>0.29593750000000002</v>
      </c>
      <c r="C198">
        <v>15</v>
      </c>
      <c r="D198" s="27">
        <v>1.4236111111111112E-3</v>
      </c>
      <c r="E198" s="27">
        <v>2.1435185185185186E-2</v>
      </c>
      <c r="F198">
        <v>0</v>
      </c>
      <c r="G198" s="27">
        <v>0</v>
      </c>
      <c r="H198" s="27">
        <v>0</v>
      </c>
      <c r="I198" s="34">
        <v>55</v>
      </c>
      <c r="J198" s="27">
        <v>1.3194444444444445E-3</v>
      </c>
      <c r="K198" s="35">
        <v>7.2754629629629627E-2</v>
      </c>
      <c r="L198">
        <v>1</v>
      </c>
      <c r="M198" s="27">
        <v>9.2476851851851852E-3</v>
      </c>
      <c r="N198" s="35">
        <v>9.2476851851851852E-3</v>
      </c>
      <c r="O198" s="3">
        <v>45981</v>
      </c>
      <c r="P198" t="str">
        <f t="shared" si="6"/>
        <v>November</v>
      </c>
      <c r="Q198" s="3">
        <f t="shared" si="7"/>
        <v>45978</v>
      </c>
      <c r="R198" s="36" t="str" cm="1">
        <f t="array" ref="R198">IFERROR(
  _xlfn.LET(
    _xlpm.cleaned, TRIM(SUBSTITUTE(A198,CHAR(160),"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199" spans="1:18" x14ac:dyDescent="0.25">
      <c r="A199" t="s">
        <v>68</v>
      </c>
      <c r="B199" s="27">
        <v>0.28592592592592592</v>
      </c>
      <c r="C199">
        <v>12</v>
      </c>
      <c r="D199" s="27">
        <v>2.6041666666666665E-3</v>
      </c>
      <c r="E199" s="27">
        <v>3.1215277777777779E-2</v>
      </c>
      <c r="F199">
        <v>1</v>
      </c>
      <c r="G199" s="27">
        <v>1.5625000000000001E-3</v>
      </c>
      <c r="H199" s="27">
        <v>1.5625000000000001E-3</v>
      </c>
      <c r="I199" s="34">
        <v>34</v>
      </c>
      <c r="J199" s="27">
        <v>1.0995370370370371E-3</v>
      </c>
      <c r="K199" s="35">
        <v>3.726851851851852E-2</v>
      </c>
      <c r="L199">
        <v>8</v>
      </c>
      <c r="M199" s="27">
        <v>6.7939814814814816E-3</v>
      </c>
      <c r="N199" s="35">
        <v>5.4375E-2</v>
      </c>
      <c r="O199" s="3">
        <v>45975</v>
      </c>
      <c r="P199" t="str">
        <f t="shared" si="6"/>
        <v>November</v>
      </c>
      <c r="Q199" s="3">
        <f t="shared" si="7"/>
        <v>45971</v>
      </c>
      <c r="R199" s="36" t="str" cm="1">
        <f t="array" ref="R199">IFERROR(
  _xlfn.LET(
    _xlpm.cleaned, TRIM(SUBSTITUTE(A199,CHAR(160),"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00" spans="1:18" x14ac:dyDescent="0.25">
      <c r="A200" t="s">
        <v>68</v>
      </c>
      <c r="B200" s="27">
        <v>0.29355324074074074</v>
      </c>
      <c r="C200">
        <v>42</v>
      </c>
      <c r="D200" s="27">
        <v>2.9976851851851853E-3</v>
      </c>
      <c r="E200" s="27">
        <v>0.12570601851851851</v>
      </c>
      <c r="F200">
        <v>1</v>
      </c>
      <c r="G200" s="27">
        <v>2.8587962962962963E-3</v>
      </c>
      <c r="H200" s="27">
        <v>2.8587962962962963E-3</v>
      </c>
      <c r="I200" s="34">
        <v>50</v>
      </c>
      <c r="J200" s="27">
        <v>4.9768518518518521E-4</v>
      </c>
      <c r="K200" s="35">
        <v>2.4756944444444446E-2</v>
      </c>
      <c r="L200">
        <v>4</v>
      </c>
      <c r="M200" s="27">
        <v>3.9351851851851848E-3</v>
      </c>
      <c r="N200" s="35">
        <v>1.5740740740740739E-2</v>
      </c>
      <c r="O200" s="3">
        <v>45978</v>
      </c>
      <c r="P200" t="str">
        <f t="shared" si="6"/>
        <v>November</v>
      </c>
      <c r="Q200" s="3">
        <f t="shared" si="7"/>
        <v>45978</v>
      </c>
      <c r="R200" s="36" t="str" cm="1">
        <f t="array" ref="R200">IFERROR(
  _xlfn.LET(
    _xlpm.cleaned, TRIM(SUBSTITUTE(A200,CHAR(160),"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01" spans="1:18" x14ac:dyDescent="0.25">
      <c r="A201" t="s">
        <v>68</v>
      </c>
      <c r="B201" s="27">
        <v>0.29464120370370372</v>
      </c>
      <c r="C201">
        <v>20</v>
      </c>
      <c r="D201" s="27">
        <v>2.6967592592592594E-3</v>
      </c>
      <c r="E201" s="27">
        <v>5.3981481481481484E-2</v>
      </c>
      <c r="F201">
        <v>1</v>
      </c>
      <c r="G201" s="27">
        <v>3.7152777777777778E-3</v>
      </c>
      <c r="H201" s="27">
        <v>3.7152777777777778E-3</v>
      </c>
      <c r="I201" s="34">
        <v>27</v>
      </c>
      <c r="J201" s="27">
        <v>4.2824074074074075E-4</v>
      </c>
      <c r="K201" s="35">
        <v>1.1655092592592592E-2</v>
      </c>
      <c r="L201">
        <v>7</v>
      </c>
      <c r="M201" s="27">
        <v>1.7048611111111112E-2</v>
      </c>
      <c r="N201" s="35">
        <v>0.11935185185185185</v>
      </c>
      <c r="O201" s="3">
        <v>45979</v>
      </c>
      <c r="P201" t="str">
        <f t="shared" si="6"/>
        <v>November</v>
      </c>
      <c r="Q201" s="3">
        <f t="shared" si="7"/>
        <v>45978</v>
      </c>
      <c r="R201" s="36" t="str" cm="1">
        <f t="array" ref="R201">IFERROR(
  _xlfn.LET(
    _xlpm.cleaned, TRIM(SUBSTITUTE(A201,CHAR(160),"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02" spans="1:18" x14ac:dyDescent="0.25">
      <c r="A202" t="s">
        <v>68</v>
      </c>
      <c r="B202" s="27">
        <v>0.21182870370370371</v>
      </c>
      <c r="C202">
        <v>21</v>
      </c>
      <c r="D202" s="27">
        <v>3.8657407407407408E-3</v>
      </c>
      <c r="E202" s="27">
        <v>8.1203703703703708E-2</v>
      </c>
      <c r="F202">
        <v>0</v>
      </c>
      <c r="G202" s="27">
        <v>0</v>
      </c>
      <c r="H202" s="27">
        <v>0</v>
      </c>
      <c r="I202" s="34">
        <v>29</v>
      </c>
      <c r="J202" s="27">
        <v>3.0092592592592595E-4</v>
      </c>
      <c r="K202" s="35">
        <v>8.6226851851851846E-3</v>
      </c>
      <c r="L202">
        <v>6</v>
      </c>
      <c r="M202" s="27">
        <v>1.3425925925925925E-3</v>
      </c>
      <c r="N202" s="35">
        <v>8.0439814814814818E-3</v>
      </c>
      <c r="O202" s="3">
        <v>45980</v>
      </c>
      <c r="P202" t="str">
        <f t="shared" si="6"/>
        <v>November</v>
      </c>
      <c r="Q202" s="3">
        <f t="shared" si="7"/>
        <v>45978</v>
      </c>
      <c r="R202" s="36" t="str" cm="1">
        <f t="array" ref="R202">IFERROR(
  _xlfn.LET(
    _xlpm.cleaned, TRIM(SUBSTITUTE(A202,CHAR(160),"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03" spans="1:18" x14ac:dyDescent="0.25">
      <c r="A203" t="s">
        <v>68</v>
      </c>
      <c r="B203" s="27">
        <v>0.29765046296296294</v>
      </c>
      <c r="C203">
        <v>21</v>
      </c>
      <c r="D203" s="27">
        <v>3.3912037037037036E-3</v>
      </c>
      <c r="E203" s="27">
        <v>7.1307870370370369E-2</v>
      </c>
      <c r="F203">
        <v>0</v>
      </c>
      <c r="G203" s="27">
        <v>0</v>
      </c>
      <c r="H203" s="27">
        <v>0</v>
      </c>
      <c r="I203" s="34">
        <v>35</v>
      </c>
      <c r="J203" s="27">
        <v>4.7453703703703704E-4</v>
      </c>
      <c r="K203" s="35">
        <v>1.6724537037037038E-2</v>
      </c>
      <c r="L203">
        <v>6</v>
      </c>
      <c r="M203" s="27">
        <v>3.2986111111111111E-3</v>
      </c>
      <c r="N203" s="35">
        <v>1.9791666666666666E-2</v>
      </c>
      <c r="O203" s="3">
        <v>45981</v>
      </c>
      <c r="P203" t="str">
        <f t="shared" si="6"/>
        <v>November</v>
      </c>
      <c r="Q203" s="3">
        <f t="shared" si="7"/>
        <v>45978</v>
      </c>
      <c r="R203" s="36" t="str" cm="1">
        <f t="array" ref="R203">IFERROR(
  _xlfn.LET(
    _xlpm.cleaned, TRIM(SUBSTITUTE(A203,CHAR(160),"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04" spans="1:18" x14ac:dyDescent="0.25">
      <c r="A204" t="s">
        <v>69</v>
      </c>
      <c r="B204" s="27">
        <v>0.26841435185185186</v>
      </c>
      <c r="C204">
        <v>10</v>
      </c>
      <c r="D204" s="27">
        <v>2.6967592592592594E-3</v>
      </c>
      <c r="E204" s="27">
        <v>2.6956018518518518E-2</v>
      </c>
      <c r="F204">
        <v>0</v>
      </c>
      <c r="G204" s="27">
        <v>0</v>
      </c>
      <c r="H204" s="27">
        <v>0</v>
      </c>
      <c r="I204" s="34">
        <v>35</v>
      </c>
      <c r="J204" s="27">
        <v>3.0092592592592593E-3</v>
      </c>
      <c r="K204" s="35">
        <v>0.10548611111111111</v>
      </c>
      <c r="L204">
        <v>2</v>
      </c>
      <c r="M204" s="27">
        <v>8.4375000000000006E-3</v>
      </c>
      <c r="N204" s="35">
        <v>1.6875000000000001E-2</v>
      </c>
      <c r="O204" s="3">
        <v>45968</v>
      </c>
      <c r="P204" t="str">
        <f t="shared" si="6"/>
        <v>November</v>
      </c>
      <c r="Q204" s="3">
        <f t="shared" si="7"/>
        <v>45964</v>
      </c>
      <c r="R204" s="36" t="str" cm="1">
        <f t="array" ref="R204">IFERROR(
  _xlfn.LET(
    _xlpm.cleaned, TRIM(SUBSTITUTE(A204,CHAR(160),"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05" spans="1:18" x14ac:dyDescent="0.25">
      <c r="A205" t="s">
        <v>69</v>
      </c>
      <c r="B205" s="27">
        <v>0.25171296296296297</v>
      </c>
      <c r="C205">
        <v>8</v>
      </c>
      <c r="D205" s="27">
        <v>1.9675925925925924E-3</v>
      </c>
      <c r="E205" s="27">
        <v>1.5787037037037037E-2</v>
      </c>
      <c r="F205">
        <v>2</v>
      </c>
      <c r="G205" s="27">
        <v>1.0532407407407407E-3</v>
      </c>
      <c r="H205" s="27">
        <v>2.1064814814814813E-3</v>
      </c>
      <c r="I205" s="34">
        <v>50</v>
      </c>
      <c r="J205" s="27">
        <v>1.9907407407407408E-3</v>
      </c>
      <c r="K205" s="35">
        <v>9.9548611111111115E-2</v>
      </c>
      <c r="L205">
        <v>6</v>
      </c>
      <c r="M205" s="27">
        <v>3.8194444444444443E-3</v>
      </c>
      <c r="N205" s="35">
        <v>2.2951388888888889E-2</v>
      </c>
      <c r="O205" s="3">
        <v>45971</v>
      </c>
      <c r="P205" t="str">
        <f t="shared" si="6"/>
        <v>November</v>
      </c>
      <c r="Q205" s="3">
        <f t="shared" si="7"/>
        <v>45971</v>
      </c>
      <c r="R205" s="36" t="str" cm="1">
        <f t="array" ref="R205">IFERROR(
  _xlfn.LET(
    _xlpm.cleaned, TRIM(SUBSTITUTE(A205,CHAR(160),"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06" spans="1:18" x14ac:dyDescent="0.25">
      <c r="A206" t="s">
        <v>69</v>
      </c>
      <c r="B206" s="27">
        <v>0.2321412037037037</v>
      </c>
      <c r="C206">
        <v>9</v>
      </c>
      <c r="D206" s="27">
        <v>4.5486111111111109E-3</v>
      </c>
      <c r="E206" s="27">
        <v>4.0937500000000002E-2</v>
      </c>
      <c r="F206">
        <v>0</v>
      </c>
      <c r="G206" s="27">
        <v>0</v>
      </c>
      <c r="H206" s="27">
        <v>0</v>
      </c>
      <c r="I206" s="34">
        <v>27</v>
      </c>
      <c r="J206" s="27">
        <v>3.1365740740740742E-3</v>
      </c>
      <c r="K206" s="35">
        <v>8.4548611111111116E-2</v>
      </c>
      <c r="L206">
        <v>3</v>
      </c>
      <c r="M206" s="27">
        <v>5.0231481481481481E-3</v>
      </c>
      <c r="N206" s="35">
        <v>1.5057870370370371E-2</v>
      </c>
      <c r="O206" s="3">
        <v>45972</v>
      </c>
      <c r="P206" t="str">
        <f t="shared" si="6"/>
        <v>November</v>
      </c>
      <c r="Q206" s="3">
        <f t="shared" si="7"/>
        <v>45971</v>
      </c>
      <c r="R206" s="36" t="str" cm="1">
        <f t="array" ref="R206">IFERROR(
  _xlfn.LET(
    _xlpm.cleaned, TRIM(SUBSTITUTE(A206,CHAR(160),"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07" spans="1:18" x14ac:dyDescent="0.25">
      <c r="A207" t="s">
        <v>69</v>
      </c>
      <c r="B207" s="27">
        <v>0.63081018518518517</v>
      </c>
      <c r="C207">
        <v>11</v>
      </c>
      <c r="D207" s="27">
        <v>2.627314814814815E-3</v>
      </c>
      <c r="E207" s="27">
        <v>2.8888888888888888E-2</v>
      </c>
      <c r="F207">
        <v>0</v>
      </c>
      <c r="G207" s="27">
        <v>0</v>
      </c>
      <c r="H207" s="27">
        <v>0</v>
      </c>
      <c r="I207" s="34">
        <v>42</v>
      </c>
      <c r="J207" s="27">
        <v>1.0451388888888889E-2</v>
      </c>
      <c r="K207" s="35">
        <v>0.4387962962962963</v>
      </c>
      <c r="L207">
        <v>4</v>
      </c>
      <c r="M207" s="27">
        <v>4.5717592592592589E-3</v>
      </c>
      <c r="N207" s="35">
        <v>1.8298611111111113E-2</v>
      </c>
      <c r="O207" s="3">
        <v>45973</v>
      </c>
      <c r="P207" t="str">
        <f t="shared" si="6"/>
        <v>November</v>
      </c>
      <c r="Q207" s="3">
        <f t="shared" si="7"/>
        <v>45971</v>
      </c>
      <c r="R207" s="36" t="str" cm="1">
        <f t="array" ref="R207">IFERROR(
  _xlfn.LET(
    _xlpm.cleaned, TRIM(SUBSTITUTE(A207,CHAR(160),"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08" spans="1:18" x14ac:dyDescent="0.25">
      <c r="A208" t="s">
        <v>69</v>
      </c>
      <c r="B208" s="27">
        <v>0.5593055555555555</v>
      </c>
      <c r="C208">
        <v>13</v>
      </c>
      <c r="D208" s="27">
        <v>2.8356481481481483E-3</v>
      </c>
      <c r="E208" s="27">
        <v>3.6793981481481483E-2</v>
      </c>
      <c r="F208">
        <v>1</v>
      </c>
      <c r="G208" s="27">
        <v>3.6574074074074074E-3</v>
      </c>
      <c r="H208" s="27">
        <v>3.6574074074074074E-3</v>
      </c>
      <c r="I208" s="34">
        <v>50</v>
      </c>
      <c r="J208" s="27">
        <v>7.3842592592592597E-3</v>
      </c>
      <c r="K208" s="35">
        <v>0.36899305555555556</v>
      </c>
      <c r="L208">
        <v>3</v>
      </c>
      <c r="M208" s="27">
        <v>3.6689814814814814E-3</v>
      </c>
      <c r="N208" s="35">
        <v>1.1006944444444444E-2</v>
      </c>
      <c r="O208" s="3">
        <v>45974</v>
      </c>
      <c r="P208" t="str">
        <f t="shared" si="6"/>
        <v>November</v>
      </c>
      <c r="Q208" s="3">
        <f t="shared" si="7"/>
        <v>45971</v>
      </c>
      <c r="R208" s="36" t="str" cm="1">
        <f t="array" ref="R208">IFERROR(
  _xlfn.LET(
    _xlpm.cleaned, TRIM(SUBSTITUTE(A208,CHAR(160),"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09" spans="1:18" x14ac:dyDescent="0.25">
      <c r="A209" t="s">
        <v>69</v>
      </c>
      <c r="B209" s="27">
        <v>0.27188657407407407</v>
      </c>
      <c r="C209">
        <v>7</v>
      </c>
      <c r="D209" s="27">
        <v>1.9444444444444444E-3</v>
      </c>
      <c r="E209" s="27">
        <v>1.3634259259259259E-2</v>
      </c>
      <c r="F209">
        <v>0</v>
      </c>
      <c r="G209" s="27">
        <v>0</v>
      </c>
      <c r="H209" s="27">
        <v>0</v>
      </c>
      <c r="I209" s="34">
        <v>41</v>
      </c>
      <c r="J209" s="27">
        <v>2.0370370370370369E-3</v>
      </c>
      <c r="K209" s="35">
        <v>8.3553240740740747E-2</v>
      </c>
      <c r="L209">
        <v>6</v>
      </c>
      <c r="M209" s="27">
        <v>5.115740740740741E-3</v>
      </c>
      <c r="N209" s="35">
        <v>3.0706018518518518E-2</v>
      </c>
      <c r="O209" s="3">
        <v>45975</v>
      </c>
      <c r="P209" t="str">
        <f t="shared" si="6"/>
        <v>November</v>
      </c>
      <c r="Q209" s="3">
        <f t="shared" si="7"/>
        <v>45971</v>
      </c>
      <c r="R209" s="36" t="str" cm="1">
        <f t="array" ref="R209">IFERROR(
  _xlfn.LET(
    _xlpm.cleaned, TRIM(SUBSTITUTE(A209,CHAR(160),"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10" spans="1:18" x14ac:dyDescent="0.25">
      <c r="A210" t="s">
        <v>69</v>
      </c>
      <c r="B210" s="27">
        <v>9.2361111111111116E-3</v>
      </c>
      <c r="C210">
        <v>2</v>
      </c>
      <c r="D210" s="27">
        <v>3.7962962962962963E-3</v>
      </c>
      <c r="E210" s="27">
        <v>7.5810185185185182E-3</v>
      </c>
      <c r="F210">
        <v>0</v>
      </c>
      <c r="G210" s="27">
        <v>0</v>
      </c>
      <c r="H210" s="27">
        <v>0</v>
      </c>
      <c r="I210" s="34">
        <v>4</v>
      </c>
      <c r="J210" s="27">
        <v>3.1250000000000001E-4</v>
      </c>
      <c r="K210" s="35">
        <v>1.25E-3</v>
      </c>
      <c r="L210">
        <v>0</v>
      </c>
      <c r="M210" s="27">
        <v>0</v>
      </c>
      <c r="N210" s="35">
        <v>0</v>
      </c>
      <c r="O210" s="3">
        <v>45978</v>
      </c>
      <c r="P210" t="str">
        <f t="shared" si="6"/>
        <v>November</v>
      </c>
      <c r="Q210" s="3">
        <f t="shared" si="7"/>
        <v>45978</v>
      </c>
      <c r="R210" s="36" t="str" cm="1">
        <f t="array" ref="R210">IFERROR(
  _xlfn.LET(
    _xlpm.cleaned, TRIM(SUBSTITUTE(A210,CHAR(160),"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11" spans="1:18" x14ac:dyDescent="0.25">
      <c r="A211" t="s">
        <v>69</v>
      </c>
      <c r="B211" s="27">
        <v>3.712962962962963E-2</v>
      </c>
      <c r="C211">
        <v>3</v>
      </c>
      <c r="D211" s="27">
        <v>1.4467592592592592E-3</v>
      </c>
      <c r="E211" s="27">
        <v>4.340277777777778E-3</v>
      </c>
      <c r="F211">
        <v>0</v>
      </c>
      <c r="G211" s="27">
        <v>0</v>
      </c>
      <c r="H211" s="27">
        <v>0</v>
      </c>
      <c r="I211" s="34">
        <v>9</v>
      </c>
      <c r="J211" s="27">
        <v>1.8055555555555555E-3</v>
      </c>
      <c r="K211" s="35">
        <v>1.6261574074074074E-2</v>
      </c>
      <c r="L211">
        <v>0</v>
      </c>
      <c r="M211" s="27">
        <v>0</v>
      </c>
      <c r="N211" s="35">
        <v>0</v>
      </c>
      <c r="O211" s="3">
        <v>45980</v>
      </c>
      <c r="P211" t="str">
        <f t="shared" si="6"/>
        <v>November</v>
      </c>
      <c r="Q211" s="3">
        <f t="shared" si="7"/>
        <v>45978</v>
      </c>
      <c r="R211" s="36" t="str" cm="1">
        <f t="array" ref="R211">IFERROR(
  _xlfn.LET(
    _xlpm.cleaned, TRIM(SUBSTITUTE(A211,CHAR(160),"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12" spans="1:18" x14ac:dyDescent="0.25">
      <c r="A212" t="s">
        <v>70</v>
      </c>
      <c r="B212" s="27">
        <v>0.30541666666666667</v>
      </c>
      <c r="C212">
        <v>20</v>
      </c>
      <c r="D212" s="27">
        <v>2.5694444444444445E-3</v>
      </c>
      <c r="E212" s="27">
        <v>5.1342592592592592E-2</v>
      </c>
      <c r="F212">
        <v>0</v>
      </c>
      <c r="G212" s="27">
        <v>0</v>
      </c>
      <c r="H212" s="27">
        <v>0</v>
      </c>
      <c r="I212" s="34">
        <v>38</v>
      </c>
      <c r="J212" s="27">
        <v>1.5162037037037036E-3</v>
      </c>
      <c r="K212" s="35">
        <v>5.755787037037037E-2</v>
      </c>
      <c r="L212">
        <v>0</v>
      </c>
      <c r="M212" s="27">
        <v>0</v>
      </c>
      <c r="N212" s="35">
        <v>0</v>
      </c>
      <c r="O212" s="3">
        <v>45968</v>
      </c>
      <c r="P212" t="str">
        <f t="shared" si="6"/>
        <v>November</v>
      </c>
      <c r="Q212" s="3">
        <f t="shared" si="7"/>
        <v>45964</v>
      </c>
      <c r="R212" s="36" t="str" cm="1">
        <f t="array" ref="R212">IFERROR(
  _xlfn.LET(
    _xlpm.cleaned, TRIM(SUBSTITUTE(A212,CHAR(160),"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13" spans="1:18" x14ac:dyDescent="0.25">
      <c r="A213" t="s">
        <v>70</v>
      </c>
      <c r="B213" s="27">
        <v>0.30233796296296295</v>
      </c>
      <c r="C213">
        <v>23</v>
      </c>
      <c r="D213" s="27">
        <v>3.0787037037037037E-3</v>
      </c>
      <c r="E213" s="27">
        <v>7.0706018518518515E-2</v>
      </c>
      <c r="F213">
        <v>0</v>
      </c>
      <c r="G213" s="27">
        <v>0</v>
      </c>
      <c r="H213" s="27">
        <v>0</v>
      </c>
      <c r="I213" s="34">
        <v>50</v>
      </c>
      <c r="J213" s="27">
        <v>1.1805555555555556E-3</v>
      </c>
      <c r="K213" s="35">
        <v>5.9247685185185188E-2</v>
      </c>
      <c r="L213">
        <v>0</v>
      </c>
      <c r="M213" s="27">
        <v>0</v>
      </c>
      <c r="N213" s="35">
        <v>0</v>
      </c>
      <c r="O213" s="3">
        <v>45971</v>
      </c>
      <c r="P213" t="str">
        <f t="shared" si="6"/>
        <v>November</v>
      </c>
      <c r="Q213" s="3">
        <f t="shared" si="7"/>
        <v>45971</v>
      </c>
      <c r="R213" s="36" t="str" cm="1">
        <f t="array" ref="R213">IFERROR(
  _xlfn.LET(
    _xlpm.cleaned, TRIM(SUBSTITUTE(A213,CHAR(160),"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14" spans="1:18" x14ac:dyDescent="0.25">
      <c r="A214" t="s">
        <v>70</v>
      </c>
      <c r="B214" s="27">
        <v>0.2789699074074074</v>
      </c>
      <c r="C214">
        <v>12</v>
      </c>
      <c r="D214" s="27">
        <v>3.3101851851851851E-3</v>
      </c>
      <c r="E214" s="27">
        <v>3.9687500000000001E-2</v>
      </c>
      <c r="F214">
        <v>0</v>
      </c>
      <c r="G214" s="27">
        <v>0</v>
      </c>
      <c r="H214" s="27">
        <v>0</v>
      </c>
      <c r="I214" s="34">
        <v>31</v>
      </c>
      <c r="J214" s="27">
        <v>1.8634259259259259E-3</v>
      </c>
      <c r="K214" s="35">
        <v>5.7719907407407407E-2</v>
      </c>
      <c r="L214">
        <v>0</v>
      </c>
      <c r="M214" s="27">
        <v>0</v>
      </c>
      <c r="N214" s="35">
        <v>0</v>
      </c>
      <c r="O214" s="3">
        <v>45972</v>
      </c>
      <c r="P214" t="str">
        <f t="shared" si="6"/>
        <v>November</v>
      </c>
      <c r="Q214" s="3">
        <f t="shared" si="7"/>
        <v>45971</v>
      </c>
      <c r="R214" s="36" t="str" cm="1">
        <f t="array" ref="R214">IFERROR(
  _xlfn.LET(
    _xlpm.cleaned, TRIM(SUBSTITUTE(A214,CHAR(160),"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15" spans="1:18" x14ac:dyDescent="0.25">
      <c r="A215" t="s">
        <v>70</v>
      </c>
      <c r="B215" s="27">
        <v>0.31480324074074073</v>
      </c>
      <c r="C215">
        <v>23</v>
      </c>
      <c r="D215" s="27">
        <v>2.9629629629629628E-3</v>
      </c>
      <c r="E215" s="27">
        <v>6.8159722222222219E-2</v>
      </c>
      <c r="F215">
        <v>0</v>
      </c>
      <c r="G215" s="27">
        <v>0</v>
      </c>
      <c r="H215" s="27">
        <v>0</v>
      </c>
      <c r="I215" s="34">
        <v>66</v>
      </c>
      <c r="J215" s="27">
        <v>7.5231481481481482E-4</v>
      </c>
      <c r="K215" s="35">
        <v>4.9513888888888892E-2</v>
      </c>
      <c r="L215">
        <v>0</v>
      </c>
      <c r="M215" s="27">
        <v>0</v>
      </c>
      <c r="N215" s="35">
        <v>0</v>
      </c>
      <c r="O215" s="3">
        <v>45973</v>
      </c>
      <c r="P215" t="str">
        <f t="shared" si="6"/>
        <v>November</v>
      </c>
      <c r="Q215" s="3">
        <f t="shared" si="7"/>
        <v>45971</v>
      </c>
      <c r="R215" s="36" t="str" cm="1">
        <f t="array" ref="R215">IFERROR(
  _xlfn.LET(
    _xlpm.cleaned, TRIM(SUBSTITUTE(A215,CHAR(160),"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16" spans="1:18" x14ac:dyDescent="0.25">
      <c r="A216" t="s">
        <v>70</v>
      </c>
      <c r="B216" s="27">
        <v>0.26640046296296294</v>
      </c>
      <c r="C216">
        <v>12</v>
      </c>
      <c r="D216" s="27">
        <v>2.5925925925925925E-3</v>
      </c>
      <c r="E216" s="27">
        <v>3.1122685185185184E-2</v>
      </c>
      <c r="F216">
        <v>0</v>
      </c>
      <c r="G216" s="27">
        <v>0</v>
      </c>
      <c r="H216" s="27">
        <v>0</v>
      </c>
      <c r="I216" s="34">
        <v>27</v>
      </c>
      <c r="J216" s="27">
        <v>1.3310185185185185E-3</v>
      </c>
      <c r="K216" s="35">
        <v>3.5995370370370372E-2</v>
      </c>
      <c r="L216">
        <v>0</v>
      </c>
      <c r="M216" s="27">
        <v>0</v>
      </c>
      <c r="N216" s="35">
        <v>0</v>
      </c>
      <c r="O216" s="3">
        <v>45974</v>
      </c>
      <c r="P216" t="str">
        <f t="shared" si="6"/>
        <v>November</v>
      </c>
      <c r="Q216" s="3">
        <f t="shared" si="7"/>
        <v>45971</v>
      </c>
      <c r="R216" s="36" t="str" cm="1">
        <f t="array" ref="R216">IFERROR(
  _xlfn.LET(
    _xlpm.cleaned, TRIM(SUBSTITUTE(A216,CHAR(160),"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17" spans="1:18" x14ac:dyDescent="0.25">
      <c r="A217" t="s">
        <v>70</v>
      </c>
      <c r="B217" s="27">
        <v>0.30525462962962963</v>
      </c>
      <c r="C217">
        <v>15</v>
      </c>
      <c r="D217" s="27">
        <v>1.724537037037037E-3</v>
      </c>
      <c r="E217" s="27">
        <v>2.5914351851851852E-2</v>
      </c>
      <c r="F217">
        <v>0</v>
      </c>
      <c r="G217" s="27">
        <v>0</v>
      </c>
      <c r="H217" s="27">
        <v>0</v>
      </c>
      <c r="I217" s="34">
        <v>41</v>
      </c>
      <c r="J217" s="27">
        <v>9.0277777777777774E-4</v>
      </c>
      <c r="K217" s="35">
        <v>3.7048611111111109E-2</v>
      </c>
      <c r="L217">
        <v>0</v>
      </c>
      <c r="M217" s="27">
        <v>0</v>
      </c>
      <c r="N217" s="35">
        <v>0</v>
      </c>
      <c r="O217" s="3">
        <v>45975</v>
      </c>
      <c r="P217" t="str">
        <f t="shared" si="6"/>
        <v>November</v>
      </c>
      <c r="Q217" s="3">
        <f t="shared" si="7"/>
        <v>45971</v>
      </c>
      <c r="R217" s="36" t="str" cm="1">
        <f t="array" ref="R217">IFERROR(
  _xlfn.LET(
    _xlpm.cleaned, TRIM(SUBSTITUTE(A217,CHAR(160),"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18" spans="1:18" x14ac:dyDescent="0.25">
      <c r="A218" t="s">
        <v>70</v>
      </c>
      <c r="B218" s="27">
        <v>0.24356481481481482</v>
      </c>
      <c r="C218">
        <v>21</v>
      </c>
      <c r="D218" s="27">
        <v>2.5115740740740741E-3</v>
      </c>
      <c r="E218" s="27">
        <v>5.2638888888888888E-2</v>
      </c>
      <c r="F218">
        <v>0</v>
      </c>
      <c r="G218" s="27">
        <v>0</v>
      </c>
      <c r="H218" s="27">
        <v>0</v>
      </c>
      <c r="I218" s="34">
        <v>28</v>
      </c>
      <c r="J218" s="27">
        <v>2.0023148148148148E-3</v>
      </c>
      <c r="K218" s="35">
        <v>5.5914351851851854E-2</v>
      </c>
      <c r="L218">
        <v>0</v>
      </c>
      <c r="M218" s="27">
        <v>0</v>
      </c>
      <c r="N218" s="35">
        <v>0</v>
      </c>
      <c r="O218" s="3">
        <v>45978</v>
      </c>
      <c r="P218" t="str">
        <f t="shared" si="6"/>
        <v>November</v>
      </c>
      <c r="Q218" s="3">
        <f t="shared" si="7"/>
        <v>45978</v>
      </c>
      <c r="R218" s="36" t="str" cm="1">
        <f t="array" ref="R218">IFERROR(
  _xlfn.LET(
    _xlpm.cleaned, TRIM(SUBSTITUTE(A218,CHAR(160),"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19" spans="1:18" x14ac:dyDescent="0.25">
      <c r="A219" t="s">
        <v>70</v>
      </c>
      <c r="B219" s="27">
        <v>0.32181712962962961</v>
      </c>
      <c r="C219">
        <v>19</v>
      </c>
      <c r="D219" s="27">
        <v>2.9166666666666668E-3</v>
      </c>
      <c r="E219" s="27">
        <v>5.5428240740740743E-2</v>
      </c>
      <c r="F219">
        <v>0</v>
      </c>
      <c r="G219" s="27">
        <v>0</v>
      </c>
      <c r="H219" s="27">
        <v>0</v>
      </c>
      <c r="I219" s="34">
        <v>39</v>
      </c>
      <c r="J219" s="27">
        <v>1.5625000000000001E-3</v>
      </c>
      <c r="K219" s="35">
        <v>6.0995370370370373E-2</v>
      </c>
      <c r="L219">
        <v>0</v>
      </c>
      <c r="M219" s="27">
        <v>0</v>
      </c>
      <c r="N219" s="35">
        <v>0</v>
      </c>
      <c r="O219" s="3">
        <v>45979</v>
      </c>
      <c r="P219" t="str">
        <f t="shared" si="6"/>
        <v>November</v>
      </c>
      <c r="Q219" s="3">
        <f t="shared" si="7"/>
        <v>45978</v>
      </c>
      <c r="R219" s="36" t="str" cm="1">
        <f t="array" ref="R219">IFERROR(
  _xlfn.LET(
    _xlpm.cleaned, TRIM(SUBSTITUTE(A219,CHAR(160),"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20" spans="1:18" x14ac:dyDescent="0.25">
      <c r="A220" t="s">
        <v>70</v>
      </c>
      <c r="B220" s="27">
        <v>0.32414351851851853</v>
      </c>
      <c r="C220">
        <v>17</v>
      </c>
      <c r="D220" s="27">
        <v>2.3148148148148147E-3</v>
      </c>
      <c r="E220" s="27">
        <v>3.9293981481481478E-2</v>
      </c>
      <c r="F220">
        <v>2</v>
      </c>
      <c r="G220" s="27">
        <v>8.1018518518518516E-4</v>
      </c>
      <c r="H220" s="27">
        <v>1.6319444444444445E-3</v>
      </c>
      <c r="I220" s="34">
        <v>51</v>
      </c>
      <c r="J220" s="27">
        <v>9.837962962962962E-4</v>
      </c>
      <c r="K220" s="35">
        <v>5.033564814814815E-2</v>
      </c>
      <c r="L220">
        <v>0</v>
      </c>
      <c r="M220" s="27">
        <v>0</v>
      </c>
      <c r="N220" s="35">
        <v>0</v>
      </c>
      <c r="O220" s="3">
        <v>45980</v>
      </c>
      <c r="P220" t="str">
        <f t="shared" si="6"/>
        <v>November</v>
      </c>
      <c r="Q220" s="3">
        <f t="shared" si="7"/>
        <v>45978</v>
      </c>
      <c r="R220" s="36" t="str" cm="1">
        <f t="array" ref="R220">IFERROR(
  _xlfn.LET(
    _xlpm.cleaned, TRIM(SUBSTITUTE(A220,CHAR(160),"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21" spans="1:18" x14ac:dyDescent="0.25">
      <c r="A221" t="s">
        <v>70</v>
      </c>
      <c r="B221" s="27">
        <v>0.30674768518518519</v>
      </c>
      <c r="C221">
        <v>14</v>
      </c>
      <c r="D221" s="27">
        <v>2.5462962962962965E-3</v>
      </c>
      <c r="E221" s="27">
        <v>3.5706018518518519E-2</v>
      </c>
      <c r="F221">
        <v>0</v>
      </c>
      <c r="G221" s="27">
        <v>0</v>
      </c>
      <c r="H221" s="27">
        <v>0</v>
      </c>
      <c r="I221" s="34">
        <v>43</v>
      </c>
      <c r="J221" s="27">
        <v>1.3310185185185185E-3</v>
      </c>
      <c r="K221" s="35">
        <v>5.7013888888888892E-2</v>
      </c>
      <c r="L221">
        <v>0</v>
      </c>
      <c r="M221" s="27">
        <v>0</v>
      </c>
      <c r="N221" s="35">
        <v>0</v>
      </c>
      <c r="O221" s="3">
        <v>45981</v>
      </c>
      <c r="P221" t="str">
        <f t="shared" si="6"/>
        <v>November</v>
      </c>
      <c r="Q221" s="3">
        <f t="shared" si="7"/>
        <v>45978</v>
      </c>
      <c r="R221" s="36" t="str" cm="1">
        <f t="array" ref="R221">IFERROR(
  _xlfn.LET(
    _xlpm.cleaned, TRIM(SUBSTITUTE(A221,CHAR(160),"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22" spans="1:18" x14ac:dyDescent="0.25">
      <c r="A222" t="s">
        <v>71</v>
      </c>
      <c r="B222" s="27">
        <v>0.25883101851851853</v>
      </c>
      <c r="C222">
        <v>17</v>
      </c>
      <c r="D222" s="27">
        <v>2.5000000000000001E-3</v>
      </c>
      <c r="E222" s="27">
        <v>4.2430555555555555E-2</v>
      </c>
      <c r="F222">
        <v>0</v>
      </c>
      <c r="G222" s="27">
        <v>0</v>
      </c>
      <c r="H222" s="27">
        <v>0</v>
      </c>
      <c r="I222" s="34">
        <v>34</v>
      </c>
      <c r="J222" s="27">
        <v>1.4467592592592592E-3</v>
      </c>
      <c r="K222" s="35">
        <v>4.9201388888888892E-2</v>
      </c>
      <c r="L222">
        <v>1</v>
      </c>
      <c r="M222" s="27">
        <v>1.6620370370370369E-2</v>
      </c>
      <c r="N222" s="35">
        <v>1.6620370370370369E-2</v>
      </c>
      <c r="O222" s="3">
        <v>45968</v>
      </c>
      <c r="P222" t="str">
        <f t="shared" si="6"/>
        <v>November</v>
      </c>
      <c r="Q222" s="3">
        <f t="shared" si="7"/>
        <v>45964</v>
      </c>
      <c r="R222" s="36" t="str" cm="1">
        <f t="array" ref="R222">IFERROR(
  _xlfn.LET(
    _xlpm.cleaned, TRIM(SUBSTITUTE(A222,CHAR(160),"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23" spans="1:18" x14ac:dyDescent="0.25">
      <c r="A223" t="s">
        <v>71</v>
      </c>
      <c r="B223" s="27">
        <v>0.28281250000000002</v>
      </c>
      <c r="C223">
        <v>16</v>
      </c>
      <c r="D223" s="27">
        <v>2.638888888888889E-3</v>
      </c>
      <c r="E223" s="27">
        <v>4.221064814814815E-2</v>
      </c>
      <c r="F223">
        <v>0</v>
      </c>
      <c r="G223" s="27">
        <v>0</v>
      </c>
      <c r="H223" s="27">
        <v>0</v>
      </c>
      <c r="I223" s="34">
        <v>44</v>
      </c>
      <c r="J223" s="27">
        <v>2.3263888888888887E-3</v>
      </c>
      <c r="K223" s="35">
        <v>0.10221064814814815</v>
      </c>
      <c r="L223">
        <v>0</v>
      </c>
      <c r="M223" s="27">
        <v>0</v>
      </c>
      <c r="N223" s="35">
        <v>0</v>
      </c>
      <c r="O223" s="3">
        <v>45971</v>
      </c>
      <c r="P223" t="str">
        <f t="shared" si="6"/>
        <v>November</v>
      </c>
      <c r="Q223" s="3">
        <f t="shared" si="7"/>
        <v>45971</v>
      </c>
      <c r="R223" s="36" t="str" cm="1">
        <f t="array" ref="R223">IFERROR(
  _xlfn.LET(
    _xlpm.cleaned, TRIM(SUBSTITUTE(A223,CHAR(160),"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24" spans="1:18" x14ac:dyDescent="0.25">
      <c r="A224" t="s">
        <v>71</v>
      </c>
      <c r="B224" s="27">
        <v>0.29151620370370368</v>
      </c>
      <c r="C224">
        <v>9</v>
      </c>
      <c r="D224" s="27">
        <v>2.3611111111111111E-3</v>
      </c>
      <c r="E224" s="27">
        <v>2.1226851851851851E-2</v>
      </c>
      <c r="F224">
        <v>0</v>
      </c>
      <c r="G224" s="27">
        <v>0</v>
      </c>
      <c r="H224" s="27">
        <v>0</v>
      </c>
      <c r="I224" s="34">
        <v>36</v>
      </c>
      <c r="J224" s="27">
        <v>4.2129629629629626E-3</v>
      </c>
      <c r="K224" s="35">
        <v>0.15151620370370369</v>
      </c>
      <c r="L224">
        <v>0</v>
      </c>
      <c r="M224" s="27">
        <v>0</v>
      </c>
      <c r="N224" s="35">
        <v>0</v>
      </c>
      <c r="O224" s="3">
        <v>45972</v>
      </c>
      <c r="P224" t="str">
        <f t="shared" si="6"/>
        <v>November</v>
      </c>
      <c r="Q224" s="3">
        <f t="shared" si="7"/>
        <v>45971</v>
      </c>
      <c r="R224" s="36" t="str" cm="1">
        <f t="array" ref="R224">IFERROR(
  _xlfn.LET(
    _xlpm.cleaned, TRIM(SUBSTITUTE(A224,CHAR(160),"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25" spans="1:18" x14ac:dyDescent="0.25">
      <c r="A225" t="s">
        <v>71</v>
      </c>
      <c r="B225" s="27">
        <v>0.35228009259259258</v>
      </c>
      <c r="C225">
        <v>17</v>
      </c>
      <c r="D225" s="27">
        <v>2.638888888888889E-3</v>
      </c>
      <c r="E225" s="27">
        <v>4.4953703703703704E-2</v>
      </c>
      <c r="F225">
        <v>0</v>
      </c>
      <c r="G225" s="27">
        <v>0</v>
      </c>
      <c r="H225" s="27">
        <v>0</v>
      </c>
      <c r="I225" s="34">
        <v>49</v>
      </c>
      <c r="J225" s="27">
        <v>2.5925925925925925E-3</v>
      </c>
      <c r="K225" s="35">
        <v>0.12709490740740742</v>
      </c>
      <c r="L225">
        <v>0</v>
      </c>
      <c r="M225" s="27">
        <v>0</v>
      </c>
      <c r="N225" s="35">
        <v>0</v>
      </c>
      <c r="O225" s="3">
        <v>45973</v>
      </c>
      <c r="P225" t="str">
        <f t="shared" si="6"/>
        <v>November</v>
      </c>
      <c r="Q225" s="3">
        <f t="shared" si="7"/>
        <v>45971</v>
      </c>
      <c r="R225" s="36" t="str" cm="1">
        <f t="array" ref="R225">IFERROR(
  _xlfn.LET(
    _xlpm.cleaned, TRIM(SUBSTITUTE(A225,CHAR(160),"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26" spans="1:18" x14ac:dyDescent="0.25">
      <c r="A226" t="s">
        <v>71</v>
      </c>
      <c r="B226" s="27">
        <v>0.33766203703703701</v>
      </c>
      <c r="C226">
        <v>14</v>
      </c>
      <c r="D226" s="27">
        <v>2.2916666666666667E-3</v>
      </c>
      <c r="E226" s="27">
        <v>3.2129629629629633E-2</v>
      </c>
      <c r="F226">
        <v>0</v>
      </c>
      <c r="G226" s="27">
        <v>0</v>
      </c>
      <c r="H226" s="27">
        <v>0</v>
      </c>
      <c r="I226" s="34">
        <v>40</v>
      </c>
      <c r="J226" s="27">
        <v>4.0856481481481481E-3</v>
      </c>
      <c r="K226" s="35">
        <v>0.16363425925925926</v>
      </c>
      <c r="L226">
        <v>0</v>
      </c>
      <c r="M226" s="27">
        <v>0</v>
      </c>
      <c r="N226" s="35">
        <v>0</v>
      </c>
      <c r="O226" s="3">
        <v>45974</v>
      </c>
      <c r="P226" t="str">
        <f t="shared" si="6"/>
        <v>November</v>
      </c>
      <c r="Q226" s="3">
        <f t="shared" si="7"/>
        <v>45971</v>
      </c>
      <c r="R226" s="36" t="str" cm="1">
        <f t="array" ref="R226">IFERROR(
  _xlfn.LET(
    _xlpm.cleaned, TRIM(SUBSTITUTE(A226,CHAR(160),"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27" spans="1:18" x14ac:dyDescent="0.25">
      <c r="A227" t="s">
        <v>71</v>
      </c>
      <c r="B227" s="27">
        <v>0.32335648148148149</v>
      </c>
      <c r="C227">
        <v>6</v>
      </c>
      <c r="D227" s="27">
        <v>1.724537037037037E-3</v>
      </c>
      <c r="E227" s="27">
        <v>1.0347222222222223E-2</v>
      </c>
      <c r="F227">
        <v>0</v>
      </c>
      <c r="G227" s="27">
        <v>0</v>
      </c>
      <c r="H227" s="27">
        <v>0</v>
      </c>
      <c r="I227" s="34">
        <v>36</v>
      </c>
      <c r="J227" s="27">
        <v>4.5370370370370373E-3</v>
      </c>
      <c r="K227" s="35">
        <v>0.16315972222222222</v>
      </c>
      <c r="L227">
        <v>0</v>
      </c>
      <c r="M227" s="27">
        <v>0</v>
      </c>
      <c r="N227" s="35">
        <v>0</v>
      </c>
      <c r="O227" s="3">
        <v>45975</v>
      </c>
      <c r="P227" t="str">
        <f t="shared" si="6"/>
        <v>November</v>
      </c>
      <c r="Q227" s="3">
        <f t="shared" si="7"/>
        <v>45971</v>
      </c>
      <c r="R227" s="36" t="str" cm="1">
        <f t="array" ref="R227">IFERROR(
  _xlfn.LET(
    _xlpm.cleaned, TRIM(SUBSTITUTE(A227,CHAR(160),"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28" spans="1:18" x14ac:dyDescent="0.25">
      <c r="A228" t="s">
        <v>71</v>
      </c>
      <c r="B228" s="27">
        <v>0.29983796296296295</v>
      </c>
      <c r="C228">
        <v>17</v>
      </c>
      <c r="D228" s="27">
        <v>1.9560185185185184E-3</v>
      </c>
      <c r="E228" s="27">
        <v>3.3310185185185186E-2</v>
      </c>
      <c r="F228">
        <v>0</v>
      </c>
      <c r="G228" s="27">
        <v>0</v>
      </c>
      <c r="H228" s="27">
        <v>0</v>
      </c>
      <c r="I228" s="34">
        <v>35</v>
      </c>
      <c r="J228" s="27">
        <v>5.5555555555555558E-3</v>
      </c>
      <c r="K228" s="35">
        <v>0.19461805555555556</v>
      </c>
      <c r="L228">
        <v>0</v>
      </c>
      <c r="M228" s="27">
        <v>0</v>
      </c>
      <c r="N228" s="35">
        <v>0</v>
      </c>
      <c r="O228" s="3">
        <v>45978</v>
      </c>
      <c r="P228" t="str">
        <f t="shared" si="6"/>
        <v>November</v>
      </c>
      <c r="Q228" s="3">
        <f t="shared" si="7"/>
        <v>45978</v>
      </c>
      <c r="R228" s="36" t="str" cm="1">
        <f t="array" ref="R228">IFERROR(
  _xlfn.LET(
    _xlpm.cleaned, TRIM(SUBSTITUTE(A228,CHAR(160),"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29" spans="1:18" x14ac:dyDescent="0.25">
      <c r="A229" t="s">
        <v>71</v>
      </c>
      <c r="B229" s="27">
        <v>0.34017361111111111</v>
      </c>
      <c r="C229">
        <v>8</v>
      </c>
      <c r="D229" s="27">
        <v>1.261574074074074E-3</v>
      </c>
      <c r="E229" s="27">
        <v>1.0069444444444445E-2</v>
      </c>
      <c r="F229">
        <v>1</v>
      </c>
      <c r="G229" s="27">
        <v>1.5740740740740741E-3</v>
      </c>
      <c r="H229" s="27">
        <v>1.5740740740740741E-3</v>
      </c>
      <c r="I229" s="34">
        <v>23</v>
      </c>
      <c r="J229" s="27">
        <v>1.0752314814814815E-2</v>
      </c>
      <c r="K229" s="35">
        <v>0.24737268518518518</v>
      </c>
      <c r="L229">
        <v>0</v>
      </c>
      <c r="M229" s="27">
        <v>0</v>
      </c>
      <c r="N229" s="35">
        <v>0</v>
      </c>
      <c r="O229" s="3">
        <v>45979</v>
      </c>
      <c r="P229" t="str">
        <f t="shared" si="6"/>
        <v>November</v>
      </c>
      <c r="Q229" s="3">
        <f t="shared" si="7"/>
        <v>45978</v>
      </c>
      <c r="R229" s="36" t="str" cm="1">
        <f t="array" ref="R229">IFERROR(
  _xlfn.LET(
    _xlpm.cleaned, TRIM(SUBSTITUTE(A229,CHAR(160),"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30" spans="1:18" x14ac:dyDescent="0.25">
      <c r="A230" t="s">
        <v>71</v>
      </c>
      <c r="B230" s="27">
        <v>0.32891203703703703</v>
      </c>
      <c r="C230">
        <v>9</v>
      </c>
      <c r="D230" s="27">
        <v>2.2106481481481482E-3</v>
      </c>
      <c r="E230" s="27">
        <v>1.9895833333333335E-2</v>
      </c>
      <c r="F230">
        <v>1</v>
      </c>
      <c r="G230" s="27">
        <v>1.7824074074074075E-3</v>
      </c>
      <c r="H230" s="27">
        <v>1.7824074074074075E-3</v>
      </c>
      <c r="I230" s="34">
        <v>25</v>
      </c>
      <c r="J230" s="27">
        <v>7.1643518518518514E-3</v>
      </c>
      <c r="K230" s="35">
        <v>0.17906250000000001</v>
      </c>
      <c r="L230">
        <v>1</v>
      </c>
      <c r="M230" s="27">
        <v>5.6249999999999998E-3</v>
      </c>
      <c r="N230" s="35">
        <v>5.6249999999999998E-3</v>
      </c>
      <c r="O230" s="3">
        <v>45980</v>
      </c>
      <c r="P230" t="str">
        <f t="shared" si="6"/>
        <v>November</v>
      </c>
      <c r="Q230" s="3">
        <f t="shared" si="7"/>
        <v>45978</v>
      </c>
      <c r="R230" s="36" t="str" cm="1">
        <f t="array" ref="R230">IFERROR(
  _xlfn.LET(
    _xlpm.cleaned, TRIM(SUBSTITUTE(A230,CHAR(160),"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31" spans="1:18" x14ac:dyDescent="0.25">
      <c r="A231" t="s">
        <v>71</v>
      </c>
      <c r="B231" s="27">
        <v>0.35800925925925925</v>
      </c>
      <c r="C231">
        <v>2</v>
      </c>
      <c r="D231" s="27">
        <v>1.6898148148148148E-3</v>
      </c>
      <c r="E231" s="27">
        <v>3.3912037037037036E-3</v>
      </c>
      <c r="F231">
        <v>0</v>
      </c>
      <c r="G231" s="27">
        <v>0</v>
      </c>
      <c r="H231" s="27">
        <v>0</v>
      </c>
      <c r="I231" s="34">
        <v>37</v>
      </c>
      <c r="J231" s="27">
        <v>4.5486111111111109E-3</v>
      </c>
      <c r="K231" s="35">
        <v>0.16810185185185186</v>
      </c>
      <c r="L231">
        <v>0</v>
      </c>
      <c r="M231" s="27">
        <v>0</v>
      </c>
      <c r="N231" s="35">
        <v>0</v>
      </c>
      <c r="O231" s="3">
        <v>45981</v>
      </c>
      <c r="P231" t="str">
        <f t="shared" si="6"/>
        <v>November</v>
      </c>
      <c r="Q231" s="3">
        <f t="shared" si="7"/>
        <v>45978</v>
      </c>
      <c r="R231" s="36" t="str" cm="1">
        <f t="array" ref="R231">IFERROR(
  _xlfn.LET(
    _xlpm.cleaned, TRIM(SUBSTITUTE(A231,CHAR(160),"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32" spans="1:18" x14ac:dyDescent="0.25">
      <c r="A232" t="s">
        <v>72</v>
      </c>
      <c r="B232" s="27">
        <v>0.31048611111111113</v>
      </c>
      <c r="C232">
        <v>20</v>
      </c>
      <c r="D232" s="27">
        <v>1.7708333333333332E-3</v>
      </c>
      <c r="E232" s="27">
        <v>3.5347222222222224E-2</v>
      </c>
      <c r="F232">
        <v>0</v>
      </c>
      <c r="G232" s="27">
        <v>0</v>
      </c>
      <c r="H232" s="27">
        <v>0</v>
      </c>
      <c r="I232" s="34">
        <v>58</v>
      </c>
      <c r="J232" s="27">
        <v>1.0416666666666667E-3</v>
      </c>
      <c r="K232" s="35">
        <v>6.0740740740740741E-2</v>
      </c>
      <c r="L232">
        <v>3</v>
      </c>
      <c r="M232" s="27">
        <v>6.898148148148148E-3</v>
      </c>
      <c r="N232" s="35">
        <v>2.0682870370370369E-2</v>
      </c>
      <c r="O232" s="3">
        <v>45968</v>
      </c>
      <c r="P232" t="str">
        <f t="shared" si="6"/>
        <v>November</v>
      </c>
      <c r="Q232" s="3">
        <f t="shared" si="7"/>
        <v>45964</v>
      </c>
      <c r="R232" s="36" t="str" cm="1">
        <f t="array" ref="R232">IFERROR(
  _xlfn.LET(
    _xlpm.cleaned, TRIM(SUBSTITUTE(A232,CHAR(160),"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33" spans="1:18" x14ac:dyDescent="0.25">
      <c r="A233" t="s">
        <v>72</v>
      </c>
      <c r="B233" s="27">
        <v>0.29031249999999997</v>
      </c>
      <c r="C233">
        <v>25</v>
      </c>
      <c r="D233" s="27">
        <v>1.4236111111111112E-3</v>
      </c>
      <c r="E233" s="27">
        <v>3.5613425925925923E-2</v>
      </c>
      <c r="F233">
        <v>1</v>
      </c>
      <c r="G233" s="27">
        <v>2.1064814814814813E-3</v>
      </c>
      <c r="H233" s="27">
        <v>2.1064814814814813E-3</v>
      </c>
      <c r="I233" s="34">
        <v>59</v>
      </c>
      <c r="J233" s="27">
        <v>1.3541666666666667E-3</v>
      </c>
      <c r="K233" s="35">
        <v>7.975694444444445E-2</v>
      </c>
      <c r="L233">
        <v>3</v>
      </c>
      <c r="M233" s="27">
        <v>9.2824074074074076E-3</v>
      </c>
      <c r="N233" s="35">
        <v>2.7847222222222221E-2</v>
      </c>
      <c r="O233" s="3">
        <v>45971</v>
      </c>
      <c r="P233" t="str">
        <f t="shared" si="6"/>
        <v>November</v>
      </c>
      <c r="Q233" s="3">
        <f t="shared" si="7"/>
        <v>45971</v>
      </c>
      <c r="R233" s="36" t="str" cm="1">
        <f t="array" ref="R233">IFERROR(
  _xlfn.LET(
    _xlpm.cleaned, TRIM(SUBSTITUTE(A233,CHAR(160),"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34" spans="1:18" x14ac:dyDescent="0.25">
      <c r="A234" t="s">
        <v>72</v>
      </c>
      <c r="B234" s="27">
        <v>0.27755787037037039</v>
      </c>
      <c r="C234">
        <v>10</v>
      </c>
      <c r="D234" s="27">
        <v>1.4583333333333334E-3</v>
      </c>
      <c r="E234" s="27">
        <v>1.4548611111111111E-2</v>
      </c>
      <c r="F234">
        <v>0</v>
      </c>
      <c r="G234" s="27">
        <v>0</v>
      </c>
      <c r="H234" s="27">
        <v>0</v>
      </c>
      <c r="I234" s="34">
        <v>43</v>
      </c>
      <c r="J234" s="27">
        <v>2.7314814814814814E-3</v>
      </c>
      <c r="K234" s="35">
        <v>0.11721064814814815</v>
      </c>
      <c r="L234">
        <v>0</v>
      </c>
      <c r="M234" s="27">
        <v>0</v>
      </c>
      <c r="N234" s="35">
        <v>0</v>
      </c>
      <c r="O234" s="3">
        <v>45972</v>
      </c>
      <c r="P234" t="str">
        <f t="shared" si="6"/>
        <v>November</v>
      </c>
      <c r="Q234" s="3">
        <f t="shared" si="7"/>
        <v>45971</v>
      </c>
      <c r="R234" s="36" t="str" cm="1">
        <f t="array" ref="R234">IFERROR(
  _xlfn.LET(
    _xlpm.cleaned, TRIM(SUBSTITUTE(A234,CHAR(160),"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35" spans="1:18" x14ac:dyDescent="0.25">
      <c r="A235" t="s">
        <v>72</v>
      </c>
      <c r="B235" s="27">
        <v>0.26246527777777778</v>
      </c>
      <c r="C235">
        <v>17</v>
      </c>
      <c r="D235" s="27">
        <v>2.1296296296296298E-3</v>
      </c>
      <c r="E235" s="27">
        <v>3.6273148148148152E-2</v>
      </c>
      <c r="F235">
        <v>0</v>
      </c>
      <c r="G235" s="27">
        <v>0</v>
      </c>
      <c r="H235" s="27">
        <v>0</v>
      </c>
      <c r="I235" s="34">
        <v>56</v>
      </c>
      <c r="J235" s="27">
        <v>1.6319444444444445E-3</v>
      </c>
      <c r="K235" s="35">
        <v>9.1296296296296292E-2</v>
      </c>
      <c r="L235">
        <v>0</v>
      </c>
      <c r="M235" s="27">
        <v>0</v>
      </c>
      <c r="N235" s="35">
        <v>0</v>
      </c>
      <c r="O235" s="3">
        <v>45973</v>
      </c>
      <c r="P235" t="str">
        <f t="shared" si="6"/>
        <v>November</v>
      </c>
      <c r="Q235" s="3">
        <f t="shared" si="7"/>
        <v>45971</v>
      </c>
      <c r="R235" s="36" t="str" cm="1">
        <f t="array" ref="R235">IFERROR(
  _xlfn.LET(
    _xlpm.cleaned, TRIM(SUBSTITUTE(A235,CHAR(160),"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36" spans="1:18" x14ac:dyDescent="0.25">
      <c r="A236" t="s">
        <v>72</v>
      </c>
      <c r="B236" s="27">
        <v>0.3102199074074074</v>
      </c>
      <c r="C236">
        <v>17</v>
      </c>
      <c r="D236" s="27">
        <v>1.6435185185185185E-3</v>
      </c>
      <c r="E236" s="27">
        <v>2.7847222222222221E-2</v>
      </c>
      <c r="F236">
        <v>0</v>
      </c>
      <c r="G236" s="27">
        <v>0</v>
      </c>
      <c r="H236" s="27">
        <v>0</v>
      </c>
      <c r="I236" s="34">
        <v>52</v>
      </c>
      <c r="J236" s="27">
        <v>1.5856481481481481E-3</v>
      </c>
      <c r="K236" s="35">
        <v>8.2696759259259262E-2</v>
      </c>
      <c r="L236">
        <v>2</v>
      </c>
      <c r="M236" s="27">
        <v>1.2523148148148148E-2</v>
      </c>
      <c r="N236" s="35">
        <v>2.5057870370370369E-2</v>
      </c>
      <c r="O236" s="3">
        <v>45974</v>
      </c>
      <c r="P236" t="str">
        <f t="shared" si="6"/>
        <v>November</v>
      </c>
      <c r="Q236" s="3">
        <f t="shared" si="7"/>
        <v>45971</v>
      </c>
      <c r="R236" s="36" t="str" cm="1">
        <f t="array" ref="R236">IFERROR(
  _xlfn.LET(
    _xlpm.cleaned, TRIM(SUBSTITUTE(A236,CHAR(160),"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37" spans="1:18" x14ac:dyDescent="0.25">
      <c r="A237" t="s">
        <v>72</v>
      </c>
      <c r="B237" s="27">
        <v>0.32376157407407408</v>
      </c>
      <c r="C237">
        <v>16</v>
      </c>
      <c r="D237" s="27">
        <v>1.736111111111111E-3</v>
      </c>
      <c r="E237" s="27">
        <v>2.7858796296296295E-2</v>
      </c>
      <c r="F237">
        <v>0</v>
      </c>
      <c r="G237" s="27">
        <v>0</v>
      </c>
      <c r="H237" s="27">
        <v>0</v>
      </c>
      <c r="I237" s="34">
        <v>57</v>
      </c>
      <c r="J237" s="27">
        <v>1.4236111111111112E-3</v>
      </c>
      <c r="K237" s="35">
        <v>8.0949074074074076E-2</v>
      </c>
      <c r="L237">
        <v>4</v>
      </c>
      <c r="M237" s="27">
        <v>1.050925925925926E-2</v>
      </c>
      <c r="N237" s="35">
        <v>4.2060185185185187E-2</v>
      </c>
      <c r="O237" s="3">
        <v>45975</v>
      </c>
      <c r="P237" t="str">
        <f t="shared" si="6"/>
        <v>November</v>
      </c>
      <c r="Q237" s="3">
        <f t="shared" si="7"/>
        <v>45971</v>
      </c>
      <c r="R237" s="36" t="str" cm="1">
        <f t="array" ref="R237">IFERROR(
  _xlfn.LET(
    _xlpm.cleaned, TRIM(SUBSTITUTE(A237,CHAR(160),"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38" spans="1:18" x14ac:dyDescent="0.25">
      <c r="A238" t="s">
        <v>72</v>
      </c>
      <c r="B238" s="27">
        <v>0.30086805555555557</v>
      </c>
      <c r="C238">
        <v>23</v>
      </c>
      <c r="D238" s="27">
        <v>1.4583333333333334E-3</v>
      </c>
      <c r="E238" s="27">
        <v>3.3576388888888892E-2</v>
      </c>
      <c r="F238">
        <v>0</v>
      </c>
      <c r="G238" s="27">
        <v>0</v>
      </c>
      <c r="H238" s="27">
        <v>0</v>
      </c>
      <c r="I238" s="34">
        <v>55</v>
      </c>
      <c r="J238" s="27">
        <v>1.8634259259259259E-3</v>
      </c>
      <c r="K238" s="35">
        <v>0.10228009259259259</v>
      </c>
      <c r="L238">
        <v>3</v>
      </c>
      <c r="M238" s="27">
        <v>2.9282407407407408E-3</v>
      </c>
      <c r="N238" s="35">
        <v>8.7962962962962968E-3</v>
      </c>
      <c r="O238" s="3">
        <v>45978</v>
      </c>
      <c r="P238" t="str">
        <f t="shared" si="6"/>
        <v>November</v>
      </c>
      <c r="Q238" s="3">
        <f t="shared" si="7"/>
        <v>45978</v>
      </c>
      <c r="R238" s="36" t="str" cm="1">
        <f t="array" ref="R238">IFERROR(
  _xlfn.LET(
    _xlpm.cleaned, TRIM(SUBSTITUTE(A238,CHAR(160),"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39" spans="1:18" x14ac:dyDescent="0.25">
      <c r="A239" t="s">
        <v>72</v>
      </c>
      <c r="B239" s="27">
        <v>0.27179398148148148</v>
      </c>
      <c r="C239">
        <v>21</v>
      </c>
      <c r="D239" s="27">
        <v>1.4004629629629629E-3</v>
      </c>
      <c r="E239" s="27">
        <v>2.9340277777777778E-2</v>
      </c>
      <c r="F239">
        <v>0</v>
      </c>
      <c r="G239" s="27">
        <v>0</v>
      </c>
      <c r="H239" s="27">
        <v>0</v>
      </c>
      <c r="I239" s="34">
        <v>56</v>
      </c>
      <c r="J239" s="27">
        <v>1.9328703703703704E-3</v>
      </c>
      <c r="K239" s="35">
        <v>0.10831018518518519</v>
      </c>
      <c r="L239">
        <v>0</v>
      </c>
      <c r="M239" s="27">
        <v>0</v>
      </c>
      <c r="N239" s="35">
        <v>0</v>
      </c>
      <c r="O239" s="3">
        <v>45979</v>
      </c>
      <c r="P239" t="str">
        <f t="shared" si="6"/>
        <v>November</v>
      </c>
      <c r="Q239" s="3">
        <f t="shared" si="7"/>
        <v>45978</v>
      </c>
      <c r="R239" s="36" t="str" cm="1">
        <f t="array" ref="R239">IFERROR(
  _xlfn.LET(
    _xlpm.cleaned, TRIM(SUBSTITUTE(A239,CHAR(160),"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40" spans="1:18" x14ac:dyDescent="0.25">
      <c r="A240" t="s">
        <v>72</v>
      </c>
      <c r="B240" s="27">
        <v>0.29268518518518516</v>
      </c>
      <c r="C240">
        <v>13</v>
      </c>
      <c r="D240" s="27">
        <v>1.9675925925925924E-3</v>
      </c>
      <c r="E240" s="27">
        <v>2.5532407407407406E-2</v>
      </c>
      <c r="F240">
        <v>0</v>
      </c>
      <c r="G240" s="27">
        <v>0</v>
      </c>
      <c r="H240" s="27">
        <v>0</v>
      </c>
      <c r="I240" s="34">
        <v>31</v>
      </c>
      <c r="J240" s="27">
        <v>4.2013888888888891E-3</v>
      </c>
      <c r="K240" s="35">
        <v>0.13033564814814816</v>
      </c>
      <c r="L240">
        <v>0</v>
      </c>
      <c r="M240" s="27">
        <v>0</v>
      </c>
      <c r="N240" s="35">
        <v>0</v>
      </c>
      <c r="O240" s="3">
        <v>45980</v>
      </c>
      <c r="P240" t="str">
        <f t="shared" si="6"/>
        <v>November</v>
      </c>
      <c r="Q240" s="3">
        <f t="shared" si="7"/>
        <v>45978</v>
      </c>
      <c r="R240" s="36" t="str" cm="1">
        <f t="array" ref="R240">IFERROR(
  _xlfn.LET(
    _xlpm.cleaned, TRIM(SUBSTITUTE(A240,CHAR(160),"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41" spans="1:18" x14ac:dyDescent="0.25">
      <c r="A241" t="s">
        <v>72</v>
      </c>
      <c r="B241" s="27">
        <v>0.2825347222222222</v>
      </c>
      <c r="C241">
        <v>13</v>
      </c>
      <c r="D241" s="27">
        <v>1.1921296296296296E-3</v>
      </c>
      <c r="E241" s="27">
        <v>1.5532407407407408E-2</v>
      </c>
      <c r="F241">
        <v>0</v>
      </c>
      <c r="G241" s="27">
        <v>0</v>
      </c>
      <c r="H241" s="27">
        <v>0</v>
      </c>
      <c r="I241" s="34">
        <v>52</v>
      </c>
      <c r="J241" s="27">
        <v>1.3310185185185185E-3</v>
      </c>
      <c r="K241" s="35">
        <v>6.9074074074074079E-2</v>
      </c>
      <c r="L241">
        <v>1</v>
      </c>
      <c r="M241" s="27">
        <v>6.6087962962962966E-3</v>
      </c>
      <c r="N241" s="35">
        <v>6.6087962962962966E-3</v>
      </c>
      <c r="O241" s="3">
        <v>45981</v>
      </c>
      <c r="P241" t="str">
        <f t="shared" si="6"/>
        <v>November</v>
      </c>
      <c r="Q241" s="3">
        <f t="shared" si="7"/>
        <v>45978</v>
      </c>
      <c r="R241" s="36" t="str" cm="1">
        <f t="array" ref="R241">IFERROR(
  _xlfn.LET(
    _xlpm.cleaned, TRIM(SUBSTITUTE(A241,CHAR(160),"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42" spans="1:18" x14ac:dyDescent="0.25">
      <c r="A242" t="s">
        <v>67</v>
      </c>
      <c r="B242" s="27">
        <v>0.33537037037037037</v>
      </c>
      <c r="C242">
        <v>40</v>
      </c>
      <c r="D242" s="27">
        <v>1.2847222222222223E-3</v>
      </c>
      <c r="E242" s="27">
        <v>5.1608796296296298E-2</v>
      </c>
      <c r="F242">
        <v>0</v>
      </c>
      <c r="G242" s="27">
        <v>0</v>
      </c>
      <c r="H242" s="27">
        <v>0</v>
      </c>
      <c r="I242" s="34">
        <v>87</v>
      </c>
      <c r="J242" s="27">
        <v>6.8287037037037036E-4</v>
      </c>
      <c r="K242" s="35">
        <v>5.9374999999999997E-2</v>
      </c>
      <c r="L242">
        <v>3</v>
      </c>
      <c r="M242" s="27">
        <v>5.7291666666666663E-3</v>
      </c>
      <c r="N242" s="35">
        <v>1.7175925925925924E-2</v>
      </c>
      <c r="O242" s="3">
        <v>45982</v>
      </c>
      <c r="P242" t="str">
        <f t="shared" ref="P242:P246" si="8">TEXT($O242,"mmmm")</f>
        <v>November</v>
      </c>
      <c r="Q242" s="3">
        <f t="shared" ref="Q242:Q246" si="9">$O242-WEEKDAY($O242,1)+2</f>
        <v>45978</v>
      </c>
      <c r="R242" s="36" t="str" cm="1">
        <f t="array" ref="R242">IFERROR(
  _xlfn.LET(
    _xlpm.cleaned, TRIM(SUBSTITUTE(A242,CHAR(160),"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243" spans="1:18" x14ac:dyDescent="0.25">
      <c r="A243" t="s">
        <v>68</v>
      </c>
      <c r="B243" s="27">
        <v>0.16363425925925926</v>
      </c>
      <c r="C243">
        <v>9</v>
      </c>
      <c r="D243" s="27">
        <v>1.9097222222222222E-3</v>
      </c>
      <c r="E243" s="27">
        <v>1.7187500000000001E-2</v>
      </c>
      <c r="F243">
        <v>0</v>
      </c>
      <c r="G243" s="27">
        <v>0</v>
      </c>
      <c r="H243" s="27">
        <v>0</v>
      </c>
      <c r="I243" s="34">
        <v>30</v>
      </c>
      <c r="J243" s="27">
        <v>7.1759259259259259E-4</v>
      </c>
      <c r="K243" s="35">
        <v>2.1377314814814814E-2</v>
      </c>
      <c r="L243">
        <v>5</v>
      </c>
      <c r="M243" s="27">
        <v>3.6921296296296298E-3</v>
      </c>
      <c r="N243" s="35">
        <v>1.8437499999999999E-2</v>
      </c>
      <c r="O243" s="3">
        <v>45982</v>
      </c>
      <c r="P243" t="str">
        <f t="shared" si="8"/>
        <v>November</v>
      </c>
      <c r="Q243" s="3">
        <f t="shared" si="9"/>
        <v>45978</v>
      </c>
      <c r="R243" s="36" t="str" cm="1">
        <f t="array" ref="R243">IFERROR(
  _xlfn.LET(
    _xlpm.cleaned, TRIM(SUBSTITUTE(A243,CHAR(160),"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44" spans="1:18" x14ac:dyDescent="0.25">
      <c r="A244" t="s">
        <v>70</v>
      </c>
      <c r="B244" s="27">
        <v>0.32884259259259258</v>
      </c>
      <c r="C244">
        <v>33</v>
      </c>
      <c r="D244" s="27">
        <v>1.7708333333333332E-3</v>
      </c>
      <c r="E244" s="27">
        <v>5.8263888888888886E-2</v>
      </c>
      <c r="F244">
        <v>0</v>
      </c>
      <c r="G244" s="27">
        <v>0</v>
      </c>
      <c r="H244" s="27">
        <v>0</v>
      </c>
      <c r="I244" s="34">
        <v>53</v>
      </c>
      <c r="J244" s="27">
        <v>7.7546296296296293E-4</v>
      </c>
      <c r="K244" s="35">
        <v>4.0844907407407406E-2</v>
      </c>
      <c r="L244">
        <v>0</v>
      </c>
      <c r="M244" s="27">
        <v>0</v>
      </c>
      <c r="N244" s="35">
        <v>0</v>
      </c>
      <c r="O244" s="3">
        <v>45982</v>
      </c>
      <c r="P244" t="str">
        <f t="shared" si="8"/>
        <v>November</v>
      </c>
      <c r="Q244" s="3">
        <f t="shared" si="9"/>
        <v>45978</v>
      </c>
      <c r="R244" s="36" t="str" cm="1">
        <f t="array" ref="R244">IFERROR(
  _xlfn.LET(
    _xlpm.cleaned, TRIM(SUBSTITUTE(A244,CHAR(160),"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45" spans="1:18" x14ac:dyDescent="0.25">
      <c r="A245" t="s">
        <v>71</v>
      </c>
      <c r="B245" s="27">
        <v>0.31237268518518518</v>
      </c>
      <c r="C245">
        <v>15</v>
      </c>
      <c r="D245" s="27">
        <v>2.4421296296296296E-3</v>
      </c>
      <c r="E245" s="27">
        <v>3.6631944444444446E-2</v>
      </c>
      <c r="F245">
        <v>0</v>
      </c>
      <c r="G245" s="27">
        <v>0</v>
      </c>
      <c r="H245" s="27">
        <v>0</v>
      </c>
      <c r="I245" s="34">
        <v>34</v>
      </c>
      <c r="J245" s="27">
        <v>4.5601851851851853E-3</v>
      </c>
      <c r="K245" s="35">
        <v>0.15506944444444445</v>
      </c>
      <c r="L245">
        <v>1</v>
      </c>
      <c r="M245" s="27">
        <v>3.8310185185185183E-3</v>
      </c>
      <c r="N245" s="35">
        <v>3.8310185185185183E-3</v>
      </c>
      <c r="O245" s="3">
        <v>45982</v>
      </c>
      <c r="P245" t="str">
        <f t="shared" si="8"/>
        <v>November</v>
      </c>
      <c r="Q245" s="3">
        <f t="shared" si="9"/>
        <v>45978</v>
      </c>
      <c r="R245" s="36" t="str" cm="1">
        <f t="array" ref="R245">IFERROR(
  _xlfn.LET(
    _xlpm.cleaned, TRIM(SUBSTITUTE(A245,CHAR(160),"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46" spans="1:18" x14ac:dyDescent="0.25">
      <c r="A246" t="s">
        <v>64</v>
      </c>
      <c r="B246" s="27">
        <v>0.31214120370370368</v>
      </c>
      <c r="C246">
        <v>39</v>
      </c>
      <c r="D246" s="27">
        <v>2.0486111111111113E-3</v>
      </c>
      <c r="E246" s="27">
        <v>7.9953703703703707E-2</v>
      </c>
      <c r="F246">
        <v>1</v>
      </c>
      <c r="G246" s="27">
        <v>1.2037037037037038E-3</v>
      </c>
      <c r="H246" s="27">
        <v>1.2037037037037038E-3</v>
      </c>
      <c r="I246" s="34">
        <v>74</v>
      </c>
      <c r="J246" s="27">
        <v>4.7453703703703704E-4</v>
      </c>
      <c r="K246" s="35">
        <v>3.5057870370370371E-2</v>
      </c>
      <c r="L246">
        <v>7</v>
      </c>
      <c r="M246" s="27">
        <v>4.7800925925925927E-3</v>
      </c>
      <c r="N246" s="35">
        <v>3.3483796296296296E-2</v>
      </c>
      <c r="O246" s="3">
        <v>45999</v>
      </c>
      <c r="P246" t="str">
        <f t="shared" si="8"/>
        <v>December</v>
      </c>
      <c r="Q246" s="3">
        <f t="shared" si="9"/>
        <v>45999</v>
      </c>
      <c r="R246" s="36" t="str" cm="1">
        <f t="array" ref="R246">IFERROR(
  _xlfn.LET(
    _xlpm.cleaned, TRIM(SUBSTITUTE(A246,CHAR(160),"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47" spans="1:18" x14ac:dyDescent="0.25">
      <c r="A247" t="s">
        <v>64</v>
      </c>
      <c r="B247" s="27">
        <v>0.28652777777777777</v>
      </c>
      <c r="C247">
        <v>43</v>
      </c>
      <c r="D247" s="27">
        <v>1.8402777777777777E-3</v>
      </c>
      <c r="E247" s="27">
        <v>7.8935185185185192E-2</v>
      </c>
      <c r="F247">
        <v>0</v>
      </c>
      <c r="G247" s="27">
        <v>0</v>
      </c>
      <c r="H247" s="27">
        <v>0</v>
      </c>
      <c r="I247" s="34">
        <v>77</v>
      </c>
      <c r="J247" s="27">
        <v>3.4722222222222224E-4</v>
      </c>
      <c r="K247" s="35">
        <v>2.7094907407407408E-2</v>
      </c>
      <c r="L247">
        <v>9</v>
      </c>
      <c r="M247" s="27">
        <v>2.7893518518518519E-3</v>
      </c>
      <c r="N247" s="35">
        <v>2.5150462962962961E-2</v>
      </c>
      <c r="O247" s="3">
        <v>46000</v>
      </c>
      <c r="P247" t="str">
        <f t="shared" ref="P247:P285" si="10">TEXT($O247,"mmmm")</f>
        <v>December</v>
      </c>
      <c r="Q247" s="3">
        <f t="shared" ref="Q247:Q285" si="11">$O247-WEEKDAY($O247,1)+2</f>
        <v>45999</v>
      </c>
      <c r="R247" s="36" t="str" cm="1">
        <f t="array" ref="R247">IFERROR(
  _xlfn.LET(
    _xlpm.cleaned, TRIM(SUBSTITUTE(A247,CHAR(160),"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48" spans="1:18" x14ac:dyDescent="0.25">
      <c r="A248" t="s">
        <v>64</v>
      </c>
      <c r="B248" s="27">
        <v>0.32662037037037039</v>
      </c>
      <c r="C248">
        <v>25</v>
      </c>
      <c r="D248" s="27">
        <v>2.0717592592592593E-3</v>
      </c>
      <c r="E248" s="27">
        <v>5.181712962962963E-2</v>
      </c>
      <c r="F248">
        <v>0</v>
      </c>
      <c r="G248" s="27">
        <v>0</v>
      </c>
      <c r="H248" s="27">
        <v>0</v>
      </c>
      <c r="I248" s="34">
        <v>57</v>
      </c>
      <c r="J248" s="27">
        <v>3.8194444444444446E-4</v>
      </c>
      <c r="K248" s="35">
        <v>2.1458333333333333E-2</v>
      </c>
      <c r="L248">
        <v>10</v>
      </c>
      <c r="M248" s="27">
        <v>2.0717592592592593E-3</v>
      </c>
      <c r="N248" s="35">
        <v>2.074074074074074E-2</v>
      </c>
      <c r="O248" s="3">
        <v>46001</v>
      </c>
      <c r="P248" t="str">
        <f t="shared" si="10"/>
        <v>December</v>
      </c>
      <c r="Q248" s="3">
        <f t="shared" si="11"/>
        <v>45999</v>
      </c>
      <c r="R248" s="36" t="str" cm="1">
        <f t="array" ref="R248">IFERROR(
  _xlfn.LET(
    _xlpm.cleaned, TRIM(SUBSTITUTE(A248,CHAR(160),"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49" spans="1:18" x14ac:dyDescent="0.25">
      <c r="A249" t="s">
        <v>64</v>
      </c>
      <c r="B249" s="27">
        <v>0.3180439814814815</v>
      </c>
      <c r="C249">
        <v>28</v>
      </c>
      <c r="D249" s="27">
        <v>2.2106481481481482E-3</v>
      </c>
      <c r="E249" s="27">
        <v>6.1863425925925926E-2</v>
      </c>
      <c r="F249">
        <v>1</v>
      </c>
      <c r="G249" s="27">
        <v>3.4722222222222222E-5</v>
      </c>
      <c r="H249" s="27">
        <v>3.4722222222222222E-5</v>
      </c>
      <c r="I249" s="34">
        <v>51</v>
      </c>
      <c r="J249" s="27">
        <v>3.4722222222222224E-4</v>
      </c>
      <c r="K249" s="35">
        <v>1.7824074074074076E-2</v>
      </c>
      <c r="L249">
        <v>7</v>
      </c>
      <c r="M249" s="27">
        <v>3.4027777777777776E-3</v>
      </c>
      <c r="N249" s="35">
        <v>2.3796296296296298E-2</v>
      </c>
      <c r="O249" s="3">
        <v>46002</v>
      </c>
      <c r="P249" t="str">
        <f t="shared" si="10"/>
        <v>December</v>
      </c>
      <c r="Q249" s="3">
        <f t="shared" si="11"/>
        <v>45999</v>
      </c>
      <c r="R249" s="36" t="str" cm="1">
        <f t="array" ref="R249">IFERROR(
  _xlfn.LET(
    _xlpm.cleaned, TRIM(SUBSTITUTE(A249,CHAR(160),"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50" spans="1:18" x14ac:dyDescent="0.25">
      <c r="A250" t="s">
        <v>64</v>
      </c>
      <c r="B250" s="27">
        <v>0.31609953703703703</v>
      </c>
      <c r="C250">
        <v>26</v>
      </c>
      <c r="D250" s="27">
        <v>1.6435185185185185E-3</v>
      </c>
      <c r="E250" s="27">
        <v>4.2754629629629629E-2</v>
      </c>
      <c r="F250">
        <v>0</v>
      </c>
      <c r="G250" s="27">
        <v>0</v>
      </c>
      <c r="H250" s="27">
        <v>0</v>
      </c>
      <c r="I250" s="34">
        <v>62</v>
      </c>
      <c r="J250" s="27">
        <v>4.7453703703703704E-4</v>
      </c>
      <c r="K250" s="35">
        <v>2.9201388888888888E-2</v>
      </c>
      <c r="L250">
        <v>7</v>
      </c>
      <c r="M250" s="27">
        <v>2.7777777777777779E-3</v>
      </c>
      <c r="N250" s="35">
        <v>1.9444444444444445E-2</v>
      </c>
      <c r="O250" s="3">
        <v>46003</v>
      </c>
      <c r="P250" t="str">
        <f t="shared" si="10"/>
        <v>December</v>
      </c>
      <c r="Q250" s="3">
        <f t="shared" si="11"/>
        <v>45999</v>
      </c>
      <c r="R250" s="36" t="str" cm="1">
        <f t="array" ref="R250">IFERROR(
  _xlfn.LET(
    _xlpm.cleaned, TRIM(SUBSTITUTE(A250,CHAR(160),"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Ruth</v>
      </c>
    </row>
    <row r="251" spans="1:18" x14ac:dyDescent="0.25">
      <c r="A251" t="s">
        <v>66</v>
      </c>
      <c r="B251" s="27">
        <v>0.36648148148148146</v>
      </c>
      <c r="C251">
        <v>38</v>
      </c>
      <c r="D251" s="27">
        <v>1.7939814814814815E-3</v>
      </c>
      <c r="E251" s="27">
        <v>6.8043981481481483E-2</v>
      </c>
      <c r="F251">
        <v>0</v>
      </c>
      <c r="G251" s="27">
        <v>0</v>
      </c>
      <c r="H251" s="27">
        <v>0</v>
      </c>
      <c r="I251" s="34">
        <v>38</v>
      </c>
      <c r="J251" s="27">
        <v>2.8935185185185184E-4</v>
      </c>
      <c r="K251" s="35">
        <v>1.0949074074074075E-2</v>
      </c>
      <c r="L251">
        <v>27</v>
      </c>
      <c r="M251" s="27">
        <v>4.0972222222222226E-3</v>
      </c>
      <c r="N251" s="35">
        <v>0.11057870370370371</v>
      </c>
      <c r="O251" s="3">
        <v>45999</v>
      </c>
      <c r="P251" t="str">
        <f t="shared" si="10"/>
        <v>December</v>
      </c>
      <c r="Q251" s="3">
        <f t="shared" si="11"/>
        <v>45999</v>
      </c>
      <c r="R251" s="36" t="str" cm="1">
        <f t="array" ref="R251">IFERROR(
  _xlfn.LET(
    _xlpm.cleaned, TRIM(SUBSTITUTE(A251,CHAR(160),"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252" spans="1:18" x14ac:dyDescent="0.25">
      <c r="A252" t="s">
        <v>66</v>
      </c>
      <c r="B252" s="27">
        <v>0.33533564814814815</v>
      </c>
      <c r="C252">
        <v>29</v>
      </c>
      <c r="D252" s="27">
        <v>2.2106481481481482E-3</v>
      </c>
      <c r="E252" s="27">
        <v>6.4074074074074075E-2</v>
      </c>
      <c r="F252">
        <v>1</v>
      </c>
      <c r="G252" s="27">
        <v>1.1226851851851851E-3</v>
      </c>
      <c r="H252" s="27">
        <v>1.1226851851851851E-3</v>
      </c>
      <c r="I252" s="34">
        <v>36</v>
      </c>
      <c r="J252" s="27">
        <v>3.2407407407407406E-4</v>
      </c>
      <c r="K252" s="35">
        <v>1.1574074074074073E-2</v>
      </c>
      <c r="L252">
        <v>19</v>
      </c>
      <c r="M252" s="27">
        <v>7.2337962962962963E-3</v>
      </c>
      <c r="N252" s="35">
        <v>0.13754629629629631</v>
      </c>
      <c r="O252" s="3">
        <v>46000</v>
      </c>
      <c r="P252" t="str">
        <f t="shared" si="10"/>
        <v>December</v>
      </c>
      <c r="Q252" s="3">
        <f t="shared" si="11"/>
        <v>45999</v>
      </c>
      <c r="R252" s="36" t="str" cm="1">
        <f t="array" ref="R252">IFERROR(
  _xlfn.LET(
    _xlpm.cleaned, TRIM(SUBSTITUTE(A252,CHAR(160),"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253" spans="1:18" x14ac:dyDescent="0.25">
      <c r="A253" t="s">
        <v>66</v>
      </c>
      <c r="B253" s="27">
        <v>0.32356481481481481</v>
      </c>
      <c r="C253">
        <v>32</v>
      </c>
      <c r="D253" s="27">
        <v>1.8402777777777777E-3</v>
      </c>
      <c r="E253" s="27">
        <v>5.8761574074074077E-2</v>
      </c>
      <c r="F253">
        <v>1</v>
      </c>
      <c r="G253" s="27">
        <v>1.5509259259259259E-3</v>
      </c>
      <c r="H253" s="27">
        <v>1.5509259259259259E-3</v>
      </c>
      <c r="I253" s="34">
        <v>46</v>
      </c>
      <c r="J253" s="27">
        <v>3.8194444444444446E-4</v>
      </c>
      <c r="K253" s="35">
        <v>1.7696759259259259E-2</v>
      </c>
      <c r="L253">
        <v>7</v>
      </c>
      <c r="M253" s="27">
        <v>2.7083333333333334E-3</v>
      </c>
      <c r="N253" s="35">
        <v>1.8935185185185187E-2</v>
      </c>
      <c r="O253" s="3">
        <v>46001</v>
      </c>
      <c r="P253" t="str">
        <f t="shared" si="10"/>
        <v>December</v>
      </c>
      <c r="Q253" s="3">
        <f t="shared" si="11"/>
        <v>45999</v>
      </c>
      <c r="R253" s="36" t="str" cm="1">
        <f t="array" ref="R253">IFERROR(
  _xlfn.LET(
    _xlpm.cleaned, TRIM(SUBSTITUTE(A253,CHAR(160),"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254" spans="1:18" x14ac:dyDescent="0.25">
      <c r="A254" t="s">
        <v>66</v>
      </c>
      <c r="B254" s="27">
        <v>0.33027777777777778</v>
      </c>
      <c r="C254">
        <v>38</v>
      </c>
      <c r="D254" s="27">
        <v>2.0023148148148148E-3</v>
      </c>
      <c r="E254" s="27">
        <v>7.6238425925925932E-2</v>
      </c>
      <c r="F254">
        <v>0</v>
      </c>
      <c r="G254" s="27">
        <v>0</v>
      </c>
      <c r="H254" s="27">
        <v>0</v>
      </c>
      <c r="I254" s="34">
        <v>54</v>
      </c>
      <c r="J254" s="27">
        <v>3.8194444444444446E-4</v>
      </c>
      <c r="K254" s="35">
        <v>2.0358796296296295E-2</v>
      </c>
      <c r="L254">
        <v>8</v>
      </c>
      <c r="M254" s="27">
        <v>2.9166666666666668E-3</v>
      </c>
      <c r="N254" s="35">
        <v>2.3368055555555555E-2</v>
      </c>
      <c r="O254" s="3">
        <v>46002</v>
      </c>
      <c r="P254" t="str">
        <f t="shared" si="10"/>
        <v>December</v>
      </c>
      <c r="Q254" s="3">
        <f t="shared" si="11"/>
        <v>45999</v>
      </c>
      <c r="R254" s="36" t="str" cm="1">
        <f t="array" ref="R254">IFERROR(
  _xlfn.LET(
    _xlpm.cleaned, TRIM(SUBSTITUTE(A254,CHAR(160),"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255" spans="1:18" x14ac:dyDescent="0.25">
      <c r="A255" t="s">
        <v>66</v>
      </c>
      <c r="B255" s="27">
        <v>0.33172453703703703</v>
      </c>
      <c r="C255">
        <v>20</v>
      </c>
      <c r="D255" s="27">
        <v>2.0370370370370369E-3</v>
      </c>
      <c r="E255" s="27">
        <v>4.0752314814814818E-2</v>
      </c>
      <c r="F255">
        <v>1</v>
      </c>
      <c r="G255" s="27">
        <v>7.407407407407407E-4</v>
      </c>
      <c r="H255" s="27">
        <v>7.407407407407407E-4</v>
      </c>
      <c r="I255" s="34">
        <v>31</v>
      </c>
      <c r="J255" s="27">
        <v>4.0509259259259258E-4</v>
      </c>
      <c r="K255" s="35">
        <v>1.2708333333333334E-2</v>
      </c>
      <c r="L255">
        <v>6</v>
      </c>
      <c r="M255" s="27">
        <v>1.4027777777777778E-2</v>
      </c>
      <c r="N255" s="35">
        <v>8.4178240740740734E-2</v>
      </c>
      <c r="O255" s="3">
        <v>46003</v>
      </c>
      <c r="P255" t="str">
        <f t="shared" si="10"/>
        <v>December</v>
      </c>
      <c r="Q255" s="3">
        <f t="shared" si="11"/>
        <v>45999</v>
      </c>
      <c r="R255" s="36" t="str" cm="1">
        <f t="array" ref="R255">IFERROR(
  _xlfn.LET(
    _xlpm.cleaned, TRIM(SUBSTITUTE(A255,CHAR(160),"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Grey</v>
      </c>
    </row>
    <row r="256" spans="1:18" x14ac:dyDescent="0.25">
      <c r="A256" t="s">
        <v>67</v>
      </c>
      <c r="B256" s="27">
        <v>0.25914351851851852</v>
      </c>
      <c r="C256">
        <v>26</v>
      </c>
      <c r="D256" s="27">
        <v>1.5856481481481481E-3</v>
      </c>
      <c r="E256" s="27">
        <v>4.1111111111111112E-2</v>
      </c>
      <c r="F256">
        <v>0</v>
      </c>
      <c r="G256" s="27">
        <v>0</v>
      </c>
      <c r="H256" s="27">
        <v>0</v>
      </c>
      <c r="I256" s="34">
        <v>55</v>
      </c>
      <c r="J256" s="27">
        <v>8.1018518518518516E-4</v>
      </c>
      <c r="K256" s="35">
        <v>4.4780092592592594E-2</v>
      </c>
      <c r="L256">
        <v>3</v>
      </c>
      <c r="M256" s="27">
        <v>1.150462962962963E-2</v>
      </c>
      <c r="N256" s="35">
        <v>3.4513888888888886E-2</v>
      </c>
      <c r="O256" s="3">
        <v>45999</v>
      </c>
      <c r="P256" t="str">
        <f t="shared" si="10"/>
        <v>December</v>
      </c>
      <c r="Q256" s="3">
        <f t="shared" si="11"/>
        <v>45999</v>
      </c>
      <c r="R256" s="36" t="str" cm="1">
        <f t="array" ref="R256">IFERROR(
  _xlfn.LET(
    _xlpm.cleaned, TRIM(SUBSTITUTE(A256,CHAR(160),"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257" spans="1:18" x14ac:dyDescent="0.25">
      <c r="A257" t="s">
        <v>67</v>
      </c>
      <c r="B257" s="27">
        <v>9.8009259259259254E-2</v>
      </c>
      <c r="C257">
        <v>7</v>
      </c>
      <c r="D257" s="27">
        <v>1.4699074074074074E-3</v>
      </c>
      <c r="E257" s="27">
        <v>1.0254629629629629E-2</v>
      </c>
      <c r="F257">
        <v>0</v>
      </c>
      <c r="G257" s="27">
        <v>0</v>
      </c>
      <c r="H257" s="27">
        <v>0</v>
      </c>
      <c r="I257" s="34">
        <v>11</v>
      </c>
      <c r="J257" s="27">
        <v>7.407407407407407E-4</v>
      </c>
      <c r="K257" s="35">
        <v>8.1597222222222227E-3</v>
      </c>
      <c r="L257">
        <v>3</v>
      </c>
      <c r="M257" s="27">
        <v>1.7118055555555556E-2</v>
      </c>
      <c r="N257" s="35">
        <v>5.136574074074074E-2</v>
      </c>
      <c r="O257" s="3">
        <v>46000</v>
      </c>
      <c r="P257" t="str">
        <f t="shared" si="10"/>
        <v>December</v>
      </c>
      <c r="Q257" s="3">
        <f t="shared" si="11"/>
        <v>45999</v>
      </c>
      <c r="R257" s="36" t="str" cm="1">
        <f t="array" ref="R257">IFERROR(
  _xlfn.LET(
    _xlpm.cleaned, TRIM(SUBSTITUTE(A257,CHAR(160),"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258" spans="1:18" x14ac:dyDescent="0.25">
      <c r="A258" t="s">
        <v>67</v>
      </c>
      <c r="B258" s="27">
        <v>0.15930555555555556</v>
      </c>
      <c r="C258">
        <v>1</v>
      </c>
      <c r="D258" s="27">
        <v>2.488425925925926E-3</v>
      </c>
      <c r="E258" s="27">
        <v>2.488425925925926E-3</v>
      </c>
      <c r="F258">
        <v>0</v>
      </c>
      <c r="G258" s="27">
        <v>0</v>
      </c>
      <c r="H258" s="27">
        <v>0</v>
      </c>
      <c r="I258" s="34">
        <v>4</v>
      </c>
      <c r="J258" s="27">
        <v>2.5462962962962961E-4</v>
      </c>
      <c r="K258" s="35">
        <v>1.0069444444444444E-3</v>
      </c>
      <c r="L258">
        <v>1</v>
      </c>
      <c r="M258" s="27">
        <v>0.14635416666666667</v>
      </c>
      <c r="N258" s="35">
        <v>0.14635416666666667</v>
      </c>
      <c r="O258" s="3">
        <v>46002</v>
      </c>
      <c r="P258" t="str">
        <f t="shared" si="10"/>
        <v>December</v>
      </c>
      <c r="Q258" s="3">
        <f t="shared" si="11"/>
        <v>45999</v>
      </c>
      <c r="R258" s="36" t="str" cm="1">
        <f t="array" ref="R258">IFERROR(
  _xlfn.LET(
    _xlpm.cleaned, TRIM(SUBSTITUTE(A258,CHAR(160),"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259" spans="1:18" x14ac:dyDescent="0.25">
      <c r="A259" t="s">
        <v>67</v>
      </c>
      <c r="B259" s="27">
        <v>0.29388888888888887</v>
      </c>
      <c r="C259">
        <v>14</v>
      </c>
      <c r="D259" s="27">
        <v>1.5277777777777779E-3</v>
      </c>
      <c r="E259" s="27">
        <v>2.1377314814814814E-2</v>
      </c>
      <c r="F259">
        <v>0</v>
      </c>
      <c r="G259" s="27">
        <v>0</v>
      </c>
      <c r="H259" s="27">
        <v>0</v>
      </c>
      <c r="I259" s="34">
        <v>34</v>
      </c>
      <c r="J259" s="27">
        <v>9.2592592592592596E-4</v>
      </c>
      <c r="K259" s="35">
        <v>3.1354166666666669E-2</v>
      </c>
      <c r="L259">
        <v>8</v>
      </c>
      <c r="M259" s="27">
        <v>7.7083333333333335E-3</v>
      </c>
      <c r="N259" s="35">
        <v>6.1689814814814815E-2</v>
      </c>
      <c r="O259" s="3">
        <v>46003</v>
      </c>
      <c r="P259" t="str">
        <f t="shared" si="10"/>
        <v>December</v>
      </c>
      <c r="Q259" s="3">
        <f t="shared" si="11"/>
        <v>45999</v>
      </c>
      <c r="R259" s="36" t="str" cm="1">
        <f t="array" ref="R259">IFERROR(
  _xlfn.LET(
    _xlpm.cleaned, TRIM(SUBSTITUTE(A259,CHAR(160),"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Nicole</v>
      </c>
    </row>
    <row r="260" spans="1:18" x14ac:dyDescent="0.25">
      <c r="A260" t="s">
        <v>68</v>
      </c>
      <c r="B260" s="27">
        <v>0.26578703703703704</v>
      </c>
      <c r="C260">
        <v>21</v>
      </c>
      <c r="D260" s="27">
        <v>3.3333333333333335E-3</v>
      </c>
      <c r="E260" s="27">
        <v>7.0046296296296301E-2</v>
      </c>
      <c r="F260">
        <v>0</v>
      </c>
      <c r="G260" s="27">
        <v>0</v>
      </c>
      <c r="H260" s="27">
        <v>0</v>
      </c>
      <c r="I260" s="34">
        <v>34</v>
      </c>
      <c r="J260" s="27">
        <v>9.0277777777777774E-4</v>
      </c>
      <c r="K260" s="35">
        <v>3.0844907407407408E-2</v>
      </c>
      <c r="L260">
        <v>5</v>
      </c>
      <c r="M260" s="27">
        <v>5.2546296296296299E-3</v>
      </c>
      <c r="N260" s="35">
        <v>2.6249999999999999E-2</v>
      </c>
      <c r="O260" s="3">
        <v>45999</v>
      </c>
      <c r="P260" t="str">
        <f t="shared" si="10"/>
        <v>December</v>
      </c>
      <c r="Q260" s="3">
        <f t="shared" si="11"/>
        <v>45999</v>
      </c>
      <c r="R260" s="36" t="str" cm="1">
        <f t="array" ref="R260">IFERROR(
  _xlfn.LET(
    _xlpm.cleaned, TRIM(SUBSTITUTE(A260,CHAR(160),"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61" spans="1:18" x14ac:dyDescent="0.25">
      <c r="A261" t="s">
        <v>68</v>
      </c>
      <c r="B261" s="27">
        <v>0.24520833333333333</v>
      </c>
      <c r="C261">
        <v>24</v>
      </c>
      <c r="D261" s="27">
        <v>2.6157407407407405E-3</v>
      </c>
      <c r="E261" s="27">
        <v>6.2650462962962963E-2</v>
      </c>
      <c r="F261">
        <v>0</v>
      </c>
      <c r="G261" s="27">
        <v>0</v>
      </c>
      <c r="H261" s="27">
        <v>0</v>
      </c>
      <c r="I261" s="34">
        <v>39</v>
      </c>
      <c r="J261" s="27">
        <v>1.0416666666666667E-3</v>
      </c>
      <c r="K261" s="35">
        <v>4.0474537037037038E-2</v>
      </c>
      <c r="L261">
        <v>4</v>
      </c>
      <c r="M261" s="27">
        <v>1.5740740740740741E-3</v>
      </c>
      <c r="N261" s="35">
        <v>6.3078703703703708E-3</v>
      </c>
      <c r="O261" s="3">
        <v>46000</v>
      </c>
      <c r="P261" t="str">
        <f t="shared" si="10"/>
        <v>December</v>
      </c>
      <c r="Q261" s="3">
        <f t="shared" si="11"/>
        <v>45999</v>
      </c>
      <c r="R261" s="36" t="str" cm="1">
        <f t="array" ref="R261">IFERROR(
  _xlfn.LET(
    _xlpm.cleaned, TRIM(SUBSTITUTE(A261,CHAR(160),"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62" spans="1:18" x14ac:dyDescent="0.25">
      <c r="A262" t="s">
        <v>68</v>
      </c>
      <c r="B262" s="27">
        <v>0.2931597222222222</v>
      </c>
      <c r="C262">
        <v>23</v>
      </c>
      <c r="D262" s="27">
        <v>2.1875000000000002E-3</v>
      </c>
      <c r="E262" s="27">
        <v>5.0347222222222224E-2</v>
      </c>
      <c r="F262">
        <v>1</v>
      </c>
      <c r="G262" s="27">
        <v>1.1574074074074073E-5</v>
      </c>
      <c r="H262" s="27">
        <v>1.1574074074074073E-5</v>
      </c>
      <c r="I262" s="34">
        <v>35</v>
      </c>
      <c r="J262" s="27">
        <v>5.7870370370370367E-4</v>
      </c>
      <c r="K262" s="35">
        <v>2.0081018518518519E-2</v>
      </c>
      <c r="L262">
        <v>2</v>
      </c>
      <c r="M262" s="27">
        <v>2.1412037037037038E-3</v>
      </c>
      <c r="N262" s="35">
        <v>4.2824074074074075E-3</v>
      </c>
      <c r="O262" s="3">
        <v>46001</v>
      </c>
      <c r="P262" t="str">
        <f t="shared" si="10"/>
        <v>December</v>
      </c>
      <c r="Q262" s="3">
        <f t="shared" si="11"/>
        <v>45999</v>
      </c>
      <c r="R262" s="36" t="str" cm="1">
        <f t="array" ref="R262">IFERROR(
  _xlfn.LET(
    _xlpm.cleaned, TRIM(SUBSTITUTE(A262,CHAR(160),"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63" spans="1:18" x14ac:dyDescent="0.25">
      <c r="A263" t="s">
        <v>68</v>
      </c>
      <c r="B263" s="27">
        <v>0.28726851851851853</v>
      </c>
      <c r="C263">
        <v>22</v>
      </c>
      <c r="D263" s="27">
        <v>2.5347222222222221E-3</v>
      </c>
      <c r="E263" s="27">
        <v>5.5879629629629626E-2</v>
      </c>
      <c r="F263">
        <v>1</v>
      </c>
      <c r="G263" s="27">
        <v>1.238425925925926E-3</v>
      </c>
      <c r="H263" s="27">
        <v>1.238425925925926E-3</v>
      </c>
      <c r="I263" s="34">
        <v>36</v>
      </c>
      <c r="J263" s="27">
        <v>1.0416666666666667E-3</v>
      </c>
      <c r="K263" s="35">
        <v>3.7326388888888888E-2</v>
      </c>
      <c r="L263">
        <v>3</v>
      </c>
      <c r="M263" s="27">
        <v>3.1018518518518517E-3</v>
      </c>
      <c r="N263" s="35">
        <v>9.2939814814814812E-3</v>
      </c>
      <c r="O263" s="3">
        <v>46002</v>
      </c>
      <c r="P263" t="str">
        <f t="shared" si="10"/>
        <v>December</v>
      </c>
      <c r="Q263" s="3">
        <f t="shared" si="11"/>
        <v>45999</v>
      </c>
      <c r="R263" s="36" t="str" cm="1">
        <f t="array" ref="R263">IFERROR(
  _xlfn.LET(
    _xlpm.cleaned, TRIM(SUBSTITUTE(A263,CHAR(160),"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64" spans="1:18" x14ac:dyDescent="0.25">
      <c r="A264" t="s">
        <v>68</v>
      </c>
      <c r="B264" s="27">
        <v>0.27751157407407406</v>
      </c>
      <c r="C264">
        <v>15</v>
      </c>
      <c r="D264" s="27">
        <v>1.8518518518518519E-3</v>
      </c>
      <c r="E264" s="27">
        <v>2.7754629629629629E-2</v>
      </c>
      <c r="F264">
        <v>0</v>
      </c>
      <c r="G264" s="27">
        <v>0</v>
      </c>
      <c r="H264" s="27">
        <v>0</v>
      </c>
      <c r="I264" s="34">
        <v>34</v>
      </c>
      <c r="J264" s="27">
        <v>6.3657407407407413E-4</v>
      </c>
      <c r="K264" s="35">
        <v>2.1550925925925925E-2</v>
      </c>
      <c r="L264">
        <v>9</v>
      </c>
      <c r="M264" s="27">
        <v>1.9907407407407408E-3</v>
      </c>
      <c r="N264" s="35">
        <v>1.7916666666666668E-2</v>
      </c>
      <c r="O264" s="3">
        <v>46003</v>
      </c>
      <c r="P264" t="str">
        <f t="shared" si="10"/>
        <v>December</v>
      </c>
      <c r="Q264" s="3">
        <f t="shared" si="11"/>
        <v>45999</v>
      </c>
      <c r="R264" s="36" t="str" cm="1">
        <f t="array" ref="R264">IFERROR(
  _xlfn.LET(
    _xlpm.cleaned, TRIM(SUBSTITUTE(A264,CHAR(160),"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Nissa</v>
      </c>
    </row>
    <row r="265" spans="1:18" x14ac:dyDescent="0.25">
      <c r="A265" t="s">
        <v>69</v>
      </c>
      <c r="B265" s="27">
        <v>0.26746527777777779</v>
      </c>
      <c r="C265">
        <v>8</v>
      </c>
      <c r="D265" s="27">
        <v>1.9328703703703704E-3</v>
      </c>
      <c r="E265" s="27">
        <v>1.5428240740740741E-2</v>
      </c>
      <c r="F265">
        <v>0</v>
      </c>
      <c r="G265" s="27">
        <v>0</v>
      </c>
      <c r="H265" s="27">
        <v>0</v>
      </c>
      <c r="I265" s="34">
        <v>23</v>
      </c>
      <c r="J265" s="27">
        <v>9.2824074074074076E-3</v>
      </c>
      <c r="K265" s="35">
        <v>0.21339120370370371</v>
      </c>
      <c r="L265">
        <v>1</v>
      </c>
      <c r="M265" s="27">
        <v>9.1087962962962971E-3</v>
      </c>
      <c r="N265" s="35">
        <v>9.1087962962962971E-3</v>
      </c>
      <c r="O265" s="3">
        <v>45999</v>
      </c>
      <c r="P265" t="str">
        <f t="shared" si="10"/>
        <v>December</v>
      </c>
      <c r="Q265" s="3">
        <f t="shared" si="11"/>
        <v>45999</v>
      </c>
      <c r="R265" s="36" t="str" cm="1">
        <f t="array" ref="R265">IFERROR(
  _xlfn.LET(
    _xlpm.cleaned, TRIM(SUBSTITUTE(A265,CHAR(160),"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66" spans="1:18" x14ac:dyDescent="0.25">
      <c r="A266" t="s">
        <v>69</v>
      </c>
      <c r="B266" s="27">
        <v>0.22011574074074075</v>
      </c>
      <c r="C266">
        <v>8</v>
      </c>
      <c r="D266" s="27">
        <v>2.9976851851851853E-3</v>
      </c>
      <c r="E266" s="27">
        <v>2.3993055555555556E-2</v>
      </c>
      <c r="F266">
        <v>2</v>
      </c>
      <c r="G266" s="27">
        <v>1.8518518518518519E-3</v>
      </c>
      <c r="H266" s="27">
        <v>3.7037037037037038E-3</v>
      </c>
      <c r="I266" s="34">
        <v>35</v>
      </c>
      <c r="J266" s="27">
        <v>1.9097222222222222E-3</v>
      </c>
      <c r="K266" s="35">
        <v>6.6932870370370365E-2</v>
      </c>
      <c r="L266">
        <v>7</v>
      </c>
      <c r="M266" s="27">
        <v>6.1342592592592594E-3</v>
      </c>
      <c r="N266" s="35">
        <v>4.2905092592592592E-2</v>
      </c>
      <c r="O266" s="3">
        <v>46000</v>
      </c>
      <c r="P266" t="str">
        <f t="shared" si="10"/>
        <v>December</v>
      </c>
      <c r="Q266" s="3">
        <f t="shared" si="11"/>
        <v>45999</v>
      </c>
      <c r="R266" s="36" t="str" cm="1">
        <f t="array" ref="R266">IFERROR(
  _xlfn.LET(
    _xlpm.cleaned, TRIM(SUBSTITUTE(A266,CHAR(160),"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67" spans="1:18" x14ac:dyDescent="0.25">
      <c r="A267" t="s">
        <v>69</v>
      </c>
      <c r="B267" s="27">
        <v>0.26952546296296298</v>
      </c>
      <c r="C267">
        <v>4</v>
      </c>
      <c r="D267" s="27">
        <v>1.5972222222222223E-3</v>
      </c>
      <c r="E267" s="27">
        <v>6.3657407407407404E-3</v>
      </c>
      <c r="F267">
        <v>0</v>
      </c>
      <c r="G267" s="27">
        <v>0</v>
      </c>
      <c r="H267" s="27">
        <v>0</v>
      </c>
      <c r="I267" s="34">
        <v>29</v>
      </c>
      <c r="J267" s="27">
        <v>3.1481481481481482E-3</v>
      </c>
      <c r="K267" s="35">
        <v>9.1319444444444439E-2</v>
      </c>
      <c r="L267">
        <v>6</v>
      </c>
      <c r="M267" s="27">
        <v>2.5462962962962965E-3</v>
      </c>
      <c r="N267" s="35">
        <v>1.5300925925925926E-2</v>
      </c>
      <c r="O267" s="3">
        <v>46001</v>
      </c>
      <c r="P267" t="str">
        <f t="shared" si="10"/>
        <v>December</v>
      </c>
      <c r="Q267" s="3">
        <f t="shared" si="11"/>
        <v>45999</v>
      </c>
      <c r="R267" s="36" t="str" cm="1">
        <f t="array" ref="R267">IFERROR(
  _xlfn.LET(
    _xlpm.cleaned, TRIM(SUBSTITUTE(A267,CHAR(160),"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68" spans="1:18" x14ac:dyDescent="0.25">
      <c r="A268" t="s">
        <v>69</v>
      </c>
      <c r="B268" s="27">
        <v>0.26040509259259259</v>
      </c>
      <c r="C268">
        <v>7</v>
      </c>
      <c r="D268" s="27">
        <v>2.6967592592592594E-3</v>
      </c>
      <c r="E268" s="27">
        <v>1.8877314814814816E-2</v>
      </c>
      <c r="F268">
        <v>0</v>
      </c>
      <c r="G268" s="27">
        <v>0</v>
      </c>
      <c r="H268" s="27">
        <v>0</v>
      </c>
      <c r="I268" s="34">
        <v>29</v>
      </c>
      <c r="J268" s="27">
        <v>4.8495370370370368E-3</v>
      </c>
      <c r="K268" s="35">
        <v>0.14067129629629629</v>
      </c>
      <c r="L268">
        <v>1</v>
      </c>
      <c r="M268" s="27">
        <v>1.2962962962962963E-2</v>
      </c>
      <c r="N268" s="35">
        <v>1.2962962962962963E-2</v>
      </c>
      <c r="O268" s="3">
        <v>46002</v>
      </c>
      <c r="P268" t="str">
        <f t="shared" si="10"/>
        <v>December</v>
      </c>
      <c r="Q268" s="3">
        <f t="shared" si="11"/>
        <v>45999</v>
      </c>
      <c r="R268" s="36" t="str" cm="1">
        <f t="array" ref="R268">IFERROR(
  _xlfn.LET(
    _xlpm.cleaned, TRIM(SUBSTITUTE(A268,CHAR(160),"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69" spans="1:18" x14ac:dyDescent="0.25">
      <c r="A269" t="s">
        <v>69</v>
      </c>
      <c r="B269" s="27">
        <v>0.24793981481481481</v>
      </c>
      <c r="C269">
        <v>3</v>
      </c>
      <c r="D269" s="27">
        <v>1.8055555555555555E-3</v>
      </c>
      <c r="E269" s="27">
        <v>5.4166666666666669E-3</v>
      </c>
      <c r="F269">
        <v>0</v>
      </c>
      <c r="G269" s="27">
        <v>0</v>
      </c>
      <c r="H269" s="27">
        <v>0</v>
      </c>
      <c r="I269" s="34">
        <v>27</v>
      </c>
      <c r="J269" s="27">
        <v>3.9467592592592592E-3</v>
      </c>
      <c r="K269" s="35">
        <v>0.10643518518518519</v>
      </c>
      <c r="L269">
        <v>2</v>
      </c>
      <c r="M269" s="27">
        <v>7.3611111111111108E-3</v>
      </c>
      <c r="N269" s="35">
        <v>1.4710648148148148E-2</v>
      </c>
      <c r="O269" s="3">
        <v>46003</v>
      </c>
      <c r="P269" t="str">
        <f t="shared" si="10"/>
        <v>December</v>
      </c>
      <c r="Q269" s="3">
        <f t="shared" si="11"/>
        <v>45999</v>
      </c>
      <c r="R269" s="36" t="str" cm="1">
        <f t="array" ref="R269">IFERROR(
  _xlfn.LET(
    _xlpm.cleaned, TRIM(SUBSTITUTE(A269,CHAR(160),"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Karen</v>
      </c>
    </row>
    <row r="270" spans="1:18" x14ac:dyDescent="0.25">
      <c r="A270" t="s">
        <v>70</v>
      </c>
      <c r="B270" s="27">
        <v>0.25601851851851853</v>
      </c>
      <c r="C270">
        <v>18</v>
      </c>
      <c r="D270" s="27">
        <v>2.2222222222222222E-3</v>
      </c>
      <c r="E270" s="27">
        <v>4.0046296296296295E-2</v>
      </c>
      <c r="F270">
        <v>0</v>
      </c>
      <c r="G270" s="27">
        <v>0</v>
      </c>
      <c r="H270" s="27">
        <v>0</v>
      </c>
      <c r="I270" s="34">
        <v>39</v>
      </c>
      <c r="J270" s="27">
        <v>1.2037037037037038E-3</v>
      </c>
      <c r="K270" s="35">
        <v>4.6979166666666669E-2</v>
      </c>
      <c r="L270">
        <v>0</v>
      </c>
      <c r="M270" s="27">
        <v>0</v>
      </c>
      <c r="N270" s="35">
        <v>0</v>
      </c>
      <c r="O270" s="3">
        <v>45999</v>
      </c>
      <c r="P270" t="str">
        <f t="shared" si="10"/>
        <v>December</v>
      </c>
      <c r="Q270" s="3">
        <f t="shared" si="11"/>
        <v>45999</v>
      </c>
      <c r="R270" s="36" t="str" cm="1">
        <f t="array" ref="R270">IFERROR(
  _xlfn.LET(
    _xlpm.cleaned, TRIM(SUBSTITUTE(A270,CHAR(160),"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71" spans="1:18" x14ac:dyDescent="0.25">
      <c r="A271" t="s">
        <v>70</v>
      </c>
      <c r="B271" s="27">
        <v>0.25612268518518516</v>
      </c>
      <c r="C271">
        <v>19</v>
      </c>
      <c r="D271" s="27">
        <v>2.5115740740740741E-3</v>
      </c>
      <c r="E271" s="27">
        <v>4.7800925925925927E-2</v>
      </c>
      <c r="F271">
        <v>0</v>
      </c>
      <c r="G271" s="27">
        <v>0</v>
      </c>
      <c r="H271" s="27">
        <v>0</v>
      </c>
      <c r="I271" s="34">
        <v>44</v>
      </c>
      <c r="J271" s="27">
        <v>1.1805555555555556E-3</v>
      </c>
      <c r="K271" s="35">
        <v>5.2013888888888887E-2</v>
      </c>
      <c r="L271">
        <v>0</v>
      </c>
      <c r="M271" s="27">
        <v>0</v>
      </c>
      <c r="N271" s="35">
        <v>0</v>
      </c>
      <c r="O271" s="3">
        <v>46000</v>
      </c>
      <c r="P271" t="str">
        <f t="shared" si="10"/>
        <v>December</v>
      </c>
      <c r="Q271" s="3">
        <f t="shared" si="11"/>
        <v>45999</v>
      </c>
      <c r="R271" s="36" t="str" cm="1">
        <f t="array" ref="R271">IFERROR(
  _xlfn.LET(
    _xlpm.cleaned, TRIM(SUBSTITUTE(A271,CHAR(160),"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72" spans="1:18" x14ac:dyDescent="0.25">
      <c r="A272" t="s">
        <v>70</v>
      </c>
      <c r="B272" s="27">
        <v>0.34238425925925925</v>
      </c>
      <c r="C272">
        <v>16</v>
      </c>
      <c r="D272" s="27">
        <v>1.9212962962962964E-3</v>
      </c>
      <c r="E272" s="27">
        <v>3.0787037037037036E-2</v>
      </c>
      <c r="F272">
        <v>0</v>
      </c>
      <c r="G272" s="27">
        <v>0</v>
      </c>
      <c r="H272" s="27">
        <v>0</v>
      </c>
      <c r="I272" s="34">
        <v>31</v>
      </c>
      <c r="J272" s="27">
        <v>1.8518518518518519E-3</v>
      </c>
      <c r="K272" s="35">
        <v>5.7500000000000002E-2</v>
      </c>
      <c r="L272">
        <v>0</v>
      </c>
      <c r="M272" s="27">
        <v>0</v>
      </c>
      <c r="N272" s="35">
        <v>0</v>
      </c>
      <c r="O272" s="3">
        <v>46001</v>
      </c>
      <c r="P272" t="str">
        <f t="shared" si="10"/>
        <v>December</v>
      </c>
      <c r="Q272" s="3">
        <f t="shared" si="11"/>
        <v>45999</v>
      </c>
      <c r="R272" s="36" t="str" cm="1">
        <f t="array" ref="R272">IFERROR(
  _xlfn.LET(
    _xlpm.cleaned, TRIM(SUBSTITUTE(A272,CHAR(160),"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73" spans="1:18" x14ac:dyDescent="0.25">
      <c r="A273" t="s">
        <v>70</v>
      </c>
      <c r="B273" s="27">
        <v>0.33468750000000003</v>
      </c>
      <c r="C273">
        <v>17</v>
      </c>
      <c r="D273" s="27">
        <v>2.5231481481481481E-3</v>
      </c>
      <c r="E273" s="27">
        <v>4.2928240740740739E-2</v>
      </c>
      <c r="F273">
        <v>0</v>
      </c>
      <c r="G273" s="27">
        <v>0</v>
      </c>
      <c r="H273" s="27">
        <v>0</v>
      </c>
      <c r="I273" s="34">
        <v>34</v>
      </c>
      <c r="J273" s="27">
        <v>1.5277777777777779E-3</v>
      </c>
      <c r="K273" s="35">
        <v>5.1944444444444446E-2</v>
      </c>
      <c r="L273">
        <v>0</v>
      </c>
      <c r="M273" s="27">
        <v>0</v>
      </c>
      <c r="N273" s="35">
        <v>0</v>
      </c>
      <c r="O273" s="3">
        <v>46002</v>
      </c>
      <c r="P273" t="str">
        <f t="shared" si="10"/>
        <v>December</v>
      </c>
      <c r="Q273" s="3">
        <f t="shared" si="11"/>
        <v>45999</v>
      </c>
      <c r="R273" s="36" t="str" cm="1">
        <f t="array" ref="R273">IFERROR(
  _xlfn.LET(
    _xlpm.cleaned, TRIM(SUBSTITUTE(A273,CHAR(160),"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74" spans="1:18" x14ac:dyDescent="0.25">
      <c r="A274" t="s">
        <v>70</v>
      </c>
      <c r="B274" s="27">
        <v>0.32895833333333335</v>
      </c>
      <c r="C274">
        <v>10</v>
      </c>
      <c r="D274" s="27">
        <v>2.9745370370370373E-3</v>
      </c>
      <c r="E274" s="27">
        <v>2.9710648148148149E-2</v>
      </c>
      <c r="F274">
        <v>0</v>
      </c>
      <c r="G274" s="27">
        <v>0</v>
      </c>
      <c r="H274" s="27">
        <v>0</v>
      </c>
      <c r="I274" s="34">
        <v>41</v>
      </c>
      <c r="J274" s="27">
        <v>1.1226851851851851E-3</v>
      </c>
      <c r="K274" s="35">
        <v>4.6041666666666668E-2</v>
      </c>
      <c r="L274">
        <v>0</v>
      </c>
      <c r="M274" s="27">
        <v>0</v>
      </c>
      <c r="N274" s="35">
        <v>0</v>
      </c>
      <c r="O274" s="3">
        <v>46003</v>
      </c>
      <c r="P274" t="str">
        <f t="shared" si="10"/>
        <v>December</v>
      </c>
      <c r="Q274" s="3">
        <f t="shared" si="11"/>
        <v>45999</v>
      </c>
      <c r="R274" s="36" t="str" cm="1">
        <f t="array" ref="R274">IFERROR(
  _xlfn.LET(
    _xlpm.cleaned, TRIM(SUBSTITUTE(A274,CHAR(160),"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Serena</v>
      </c>
    </row>
    <row r="275" spans="1:18" x14ac:dyDescent="0.25">
      <c r="A275" t="s">
        <v>71</v>
      </c>
      <c r="B275" s="27">
        <v>0.25613425925925926</v>
      </c>
      <c r="C275">
        <v>9</v>
      </c>
      <c r="D275" s="27">
        <v>1.724537037037037E-3</v>
      </c>
      <c r="E275" s="27">
        <v>1.5486111111111112E-2</v>
      </c>
      <c r="F275">
        <v>0</v>
      </c>
      <c r="G275" s="27">
        <v>0</v>
      </c>
      <c r="H275" s="27">
        <v>0</v>
      </c>
      <c r="I275" s="34">
        <v>31</v>
      </c>
      <c r="J275" s="27">
        <v>3.9004629629629628E-3</v>
      </c>
      <c r="K275" s="35">
        <v>0.12090277777777778</v>
      </c>
      <c r="L275">
        <v>1</v>
      </c>
      <c r="M275" s="27">
        <v>2.2106481481481482E-3</v>
      </c>
      <c r="N275" s="35">
        <v>2.2106481481481482E-3</v>
      </c>
      <c r="O275" s="3">
        <v>45999</v>
      </c>
      <c r="P275" t="str">
        <f t="shared" si="10"/>
        <v>December</v>
      </c>
      <c r="Q275" s="3">
        <f t="shared" si="11"/>
        <v>45999</v>
      </c>
      <c r="R275" s="36" t="str" cm="1">
        <f t="array" ref="R275">IFERROR(
  _xlfn.LET(
    _xlpm.cleaned, TRIM(SUBSTITUTE(A275,CHAR(160),"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76" spans="1:18" x14ac:dyDescent="0.25">
      <c r="A276" t="s">
        <v>71</v>
      </c>
      <c r="B276" s="27">
        <v>0.33923611111111113</v>
      </c>
      <c r="C276">
        <v>8</v>
      </c>
      <c r="D276" s="27">
        <v>1.4467592592592592E-3</v>
      </c>
      <c r="E276" s="27">
        <v>1.1550925925925926E-2</v>
      </c>
      <c r="F276">
        <v>0</v>
      </c>
      <c r="G276" s="27">
        <v>0</v>
      </c>
      <c r="H276" s="27">
        <v>0</v>
      </c>
      <c r="I276" s="34">
        <v>40</v>
      </c>
      <c r="J276" s="27">
        <v>4.3287037037037035E-3</v>
      </c>
      <c r="K276" s="35">
        <v>0.17298611111111112</v>
      </c>
      <c r="L276">
        <v>2</v>
      </c>
      <c r="M276" s="27">
        <v>5.5787037037037038E-3</v>
      </c>
      <c r="N276" s="35">
        <v>1.1145833333333334E-2</v>
      </c>
      <c r="O276" s="3">
        <v>46000</v>
      </c>
      <c r="P276" t="str">
        <f t="shared" si="10"/>
        <v>December</v>
      </c>
      <c r="Q276" s="3">
        <f t="shared" si="11"/>
        <v>45999</v>
      </c>
      <c r="R276" s="36" t="str" cm="1">
        <f t="array" ref="R276">IFERROR(
  _xlfn.LET(
    _xlpm.cleaned, TRIM(SUBSTITUTE(A276,CHAR(160),"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77" spans="1:18" x14ac:dyDescent="0.25">
      <c r="A277" t="s">
        <v>71</v>
      </c>
      <c r="B277" s="27">
        <v>0.32269675925925928</v>
      </c>
      <c r="C277">
        <v>10</v>
      </c>
      <c r="D277" s="27">
        <v>1.7013888888888888E-3</v>
      </c>
      <c r="E277" s="27">
        <v>1.6979166666666667E-2</v>
      </c>
      <c r="F277">
        <v>0</v>
      </c>
      <c r="G277" s="27">
        <v>0</v>
      </c>
      <c r="H277" s="27">
        <v>0</v>
      </c>
      <c r="I277" s="34">
        <v>38</v>
      </c>
      <c r="J277" s="27">
        <v>1.8865740740740742E-3</v>
      </c>
      <c r="K277" s="35">
        <v>7.165509259259259E-2</v>
      </c>
      <c r="L277">
        <v>1</v>
      </c>
      <c r="M277" s="27">
        <v>3.3263888888888891E-2</v>
      </c>
      <c r="N277" s="35">
        <v>3.3263888888888891E-2</v>
      </c>
      <c r="O277" s="3">
        <v>46001</v>
      </c>
      <c r="P277" t="str">
        <f t="shared" si="10"/>
        <v>December</v>
      </c>
      <c r="Q277" s="3">
        <f t="shared" si="11"/>
        <v>45999</v>
      </c>
      <c r="R277" s="36" t="str" cm="1">
        <f t="array" ref="R277">IFERROR(
  _xlfn.LET(
    _xlpm.cleaned, TRIM(SUBSTITUTE(A277,CHAR(160),"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78" spans="1:18" x14ac:dyDescent="0.25">
      <c r="A278" t="s">
        <v>71</v>
      </c>
      <c r="B278" s="27">
        <v>0.22187499999999999</v>
      </c>
      <c r="C278">
        <v>10</v>
      </c>
      <c r="D278" s="27">
        <v>3.0092592592592593E-3</v>
      </c>
      <c r="E278" s="27">
        <v>3.0069444444444444E-2</v>
      </c>
      <c r="F278">
        <v>1</v>
      </c>
      <c r="G278" s="27">
        <v>1.4351851851851852E-3</v>
      </c>
      <c r="H278" s="27">
        <v>1.4351851851851852E-3</v>
      </c>
      <c r="I278" s="34">
        <v>29</v>
      </c>
      <c r="J278" s="27">
        <v>2.2222222222222222E-3</v>
      </c>
      <c r="K278" s="35">
        <v>6.4340277777777774E-2</v>
      </c>
      <c r="L278">
        <v>2</v>
      </c>
      <c r="M278" s="27">
        <v>1.0046296296296296E-2</v>
      </c>
      <c r="N278" s="35">
        <v>2.0081018518518519E-2</v>
      </c>
      <c r="O278" s="3">
        <v>46002</v>
      </c>
      <c r="P278" t="str">
        <f t="shared" si="10"/>
        <v>December</v>
      </c>
      <c r="Q278" s="3">
        <f t="shared" si="11"/>
        <v>45999</v>
      </c>
      <c r="R278" s="36" t="str" cm="1">
        <f t="array" ref="R278">IFERROR(
  _xlfn.LET(
    _xlpm.cleaned, TRIM(SUBSTITUTE(A278,CHAR(160),"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79" spans="1:18" x14ac:dyDescent="0.25">
      <c r="A279" t="s">
        <v>71</v>
      </c>
      <c r="B279" s="27">
        <v>0.29149305555555555</v>
      </c>
      <c r="C279">
        <v>4</v>
      </c>
      <c r="D279" s="27">
        <v>3.0902777777777777E-3</v>
      </c>
      <c r="E279" s="27">
        <v>1.2372685185185184E-2</v>
      </c>
      <c r="F279">
        <v>0</v>
      </c>
      <c r="G279" s="27">
        <v>0</v>
      </c>
      <c r="H279" s="27">
        <v>0</v>
      </c>
      <c r="I279" s="34">
        <v>17</v>
      </c>
      <c r="J279" s="27">
        <v>1.34375E-2</v>
      </c>
      <c r="K279" s="35">
        <v>0.22846064814814815</v>
      </c>
      <c r="L279">
        <v>0</v>
      </c>
      <c r="M279" s="27">
        <v>0</v>
      </c>
      <c r="N279" s="35">
        <v>0</v>
      </c>
      <c r="O279" s="3">
        <v>46003</v>
      </c>
      <c r="P279" t="str">
        <f t="shared" si="10"/>
        <v>December</v>
      </c>
      <c r="Q279" s="3">
        <f t="shared" si="11"/>
        <v>45999</v>
      </c>
      <c r="R279" s="36" t="str" cm="1">
        <f t="array" ref="R279">IFERROR(
  _xlfn.LET(
    _xlpm.cleaned, TRIM(SUBSTITUTE(A279,CHAR(160),"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Allison</v>
      </c>
    </row>
    <row r="280" spans="1:18" x14ac:dyDescent="0.25">
      <c r="A280" t="s">
        <v>72</v>
      </c>
      <c r="B280" s="27">
        <v>0.2956597222222222</v>
      </c>
      <c r="C280">
        <v>21</v>
      </c>
      <c r="D280" s="27">
        <v>1.6203703703703703E-3</v>
      </c>
      <c r="E280" s="27">
        <v>3.4016203703703701E-2</v>
      </c>
      <c r="F280">
        <v>0</v>
      </c>
      <c r="G280" s="27">
        <v>0</v>
      </c>
      <c r="H280" s="27">
        <v>0</v>
      </c>
      <c r="I280" s="34">
        <v>52</v>
      </c>
      <c r="J280" s="27">
        <v>2.1990740740740742E-3</v>
      </c>
      <c r="K280" s="35">
        <v>0.11416666666666667</v>
      </c>
      <c r="L280">
        <v>1</v>
      </c>
      <c r="M280" s="27">
        <v>3.7962962962962963E-3</v>
      </c>
      <c r="N280" s="35">
        <v>3.7962962962962963E-3</v>
      </c>
      <c r="O280" s="3">
        <v>45999</v>
      </c>
      <c r="P280" t="str">
        <f t="shared" si="10"/>
        <v>December</v>
      </c>
      <c r="Q280" s="3">
        <f t="shared" si="11"/>
        <v>45999</v>
      </c>
      <c r="R280" s="36" t="str" cm="1">
        <f t="array" ref="R280">IFERROR(
  _xlfn.LET(
    _xlpm.cleaned, TRIM(SUBSTITUTE(A280,CHAR(160),"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81" spans="1:18" x14ac:dyDescent="0.25">
      <c r="A281" t="s">
        <v>72</v>
      </c>
      <c r="B281" s="27">
        <v>0.25965277777777779</v>
      </c>
      <c r="C281">
        <v>22</v>
      </c>
      <c r="D281" s="27">
        <v>1.8055555555555555E-3</v>
      </c>
      <c r="E281" s="27">
        <v>3.9641203703703706E-2</v>
      </c>
      <c r="F281">
        <v>0</v>
      </c>
      <c r="G281" s="27">
        <v>0</v>
      </c>
      <c r="H281" s="27">
        <v>0</v>
      </c>
      <c r="I281" s="34">
        <v>53</v>
      </c>
      <c r="J281" s="27">
        <v>1.6550925925925926E-3</v>
      </c>
      <c r="K281" s="35">
        <v>8.773148148148148E-2</v>
      </c>
      <c r="L281">
        <v>1</v>
      </c>
      <c r="M281" s="27">
        <v>1.2476851851851852E-2</v>
      </c>
      <c r="N281" s="35">
        <v>1.2476851851851852E-2</v>
      </c>
      <c r="O281" s="3">
        <v>46000</v>
      </c>
      <c r="P281" t="str">
        <f t="shared" si="10"/>
        <v>December</v>
      </c>
      <c r="Q281" s="3">
        <f t="shared" si="11"/>
        <v>45999</v>
      </c>
      <c r="R281" s="36" t="str" cm="1">
        <f t="array" ref="R281">IFERROR(
  _xlfn.LET(
    _xlpm.cleaned, TRIM(SUBSTITUTE(A281,CHAR(160),"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82" spans="1:18" x14ac:dyDescent="0.25">
      <c r="A282" t="s">
        <v>72</v>
      </c>
      <c r="B282" s="27">
        <v>0.16253472222222223</v>
      </c>
      <c r="C282">
        <v>4</v>
      </c>
      <c r="D282" s="27">
        <v>9.3749999999999997E-4</v>
      </c>
      <c r="E282" s="27">
        <v>3.7499999999999999E-3</v>
      </c>
      <c r="F282">
        <v>0</v>
      </c>
      <c r="G282" s="27">
        <v>0</v>
      </c>
      <c r="H282" s="27">
        <v>0</v>
      </c>
      <c r="I282" s="34">
        <v>28</v>
      </c>
      <c r="J282" s="27">
        <v>1.6550925925925926E-3</v>
      </c>
      <c r="K282" s="35">
        <v>4.6354166666666669E-2</v>
      </c>
      <c r="L282">
        <v>0</v>
      </c>
      <c r="M282" s="27">
        <v>0</v>
      </c>
      <c r="N282" s="35">
        <v>0</v>
      </c>
      <c r="O282" s="3">
        <v>46001</v>
      </c>
      <c r="P282" t="str">
        <f t="shared" si="10"/>
        <v>December</v>
      </c>
      <c r="Q282" s="3">
        <f t="shared" si="11"/>
        <v>45999</v>
      </c>
      <c r="R282" s="36" t="str" cm="1">
        <f t="array" ref="R282">IFERROR(
  _xlfn.LET(
    _xlpm.cleaned, TRIM(SUBSTITUTE(A282,CHAR(160),"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83" spans="1:18" x14ac:dyDescent="0.25">
      <c r="A283" t="s">
        <v>72</v>
      </c>
      <c r="B283" s="27">
        <v>0.32403935185185184</v>
      </c>
      <c r="C283">
        <v>17</v>
      </c>
      <c r="D283" s="27">
        <v>1.5740740740740741E-3</v>
      </c>
      <c r="E283" s="27">
        <v>2.6689814814814816E-2</v>
      </c>
      <c r="F283">
        <v>0</v>
      </c>
      <c r="G283" s="27">
        <v>0</v>
      </c>
      <c r="H283" s="27">
        <v>0</v>
      </c>
      <c r="I283" s="34">
        <v>50</v>
      </c>
      <c r="J283" s="27">
        <v>2.627314814814815E-3</v>
      </c>
      <c r="K283" s="35">
        <v>0.13133101851851853</v>
      </c>
      <c r="L283">
        <v>0</v>
      </c>
      <c r="M283" s="27">
        <v>0</v>
      </c>
      <c r="N283" s="35">
        <v>0</v>
      </c>
      <c r="O283" s="3">
        <v>46002</v>
      </c>
      <c r="P283" t="str">
        <f t="shared" si="10"/>
        <v>December</v>
      </c>
      <c r="Q283" s="3">
        <f t="shared" si="11"/>
        <v>45999</v>
      </c>
      <c r="R283" s="36" t="str" cm="1">
        <f t="array" ref="R283">IFERROR(
  _xlfn.LET(
    _xlpm.cleaned, TRIM(SUBSTITUTE(A283,CHAR(160),"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84" spans="1:18" x14ac:dyDescent="0.25">
      <c r="A284" t="s">
        <v>72</v>
      </c>
      <c r="B284" s="27">
        <v>0.29222222222222222</v>
      </c>
      <c r="C284">
        <v>13</v>
      </c>
      <c r="D284" s="27">
        <v>1.3888888888888889E-3</v>
      </c>
      <c r="E284" s="27">
        <v>1.8101851851851852E-2</v>
      </c>
      <c r="F284">
        <v>0</v>
      </c>
      <c r="G284" s="27">
        <v>0</v>
      </c>
      <c r="H284" s="27">
        <v>0</v>
      </c>
      <c r="I284" s="34">
        <v>48</v>
      </c>
      <c r="J284" s="27">
        <v>2.1180555555555558E-3</v>
      </c>
      <c r="K284" s="35">
        <v>0.10142361111111112</v>
      </c>
      <c r="L284">
        <v>0</v>
      </c>
      <c r="M284" s="27">
        <v>0</v>
      </c>
      <c r="N284" s="35">
        <v>0</v>
      </c>
      <c r="O284" s="3">
        <v>46003</v>
      </c>
      <c r="P284" t="str">
        <f t="shared" si="10"/>
        <v>December</v>
      </c>
      <c r="Q284" s="3">
        <f t="shared" si="11"/>
        <v>45999</v>
      </c>
      <c r="R284" s="36" t="str" cm="1">
        <f t="array" ref="R284">IFERROR(
  _xlfn.LET(
    _xlpm.cleaned, TRIM(SUBSTITUTE(A284,CHAR(160)," ")),
    _xlpm.key, LEFT(_xlpm.cleaned, FIND(" (", _xlpm.cleaned &amp; " (") - 1),
    _xlpm.lookupArray, TRIM(SUBSTITUTE(Huddle!$AA$2:$AA$25,CHAR(160)," ")),
    _xlpm.resultRange, Huddle!$Z$2:$Z$25,
    INDEX(_xlpm.resultRange, MATCH(_xlpm.key, _xlpm.lookupArray, 0))
  ),
"")</f>
        <v>Teri</v>
      </c>
    </row>
    <row r="285" spans="1:18" x14ac:dyDescent="0.25">
      <c r="A285" t="s">
        <v>72</v>
      </c>
      <c r="B285" s="27">
        <v>0.29222222222222222</v>
      </c>
      <c r="C285">
        <v>13</v>
      </c>
      <c r="D285" s="27">
        <v>1.3888888888888889E-3</v>
      </c>
      <c r="E285" s="27">
        <v>1.8101851851851852E-2</v>
      </c>
      <c r="F285">
        <v>0</v>
      </c>
      <c r="G285" s="27">
        <v>0</v>
      </c>
      <c r="H285" s="27">
        <v>0</v>
      </c>
      <c r="I285" s="34">
        <v>48</v>
      </c>
      <c r="J285" s="27">
        <v>2.1180555555555558E-3</v>
      </c>
      <c r="K285" s="35">
        <v>0.10142361111111112</v>
      </c>
      <c r="L285">
        <v>0</v>
      </c>
      <c r="M285" s="27">
        <v>0</v>
      </c>
      <c r="N285" s="35">
        <v>0</v>
      </c>
      <c r="O285" s="3">
        <v>46003</v>
      </c>
      <c r="P285" t="str">
        <f t="shared" si="10"/>
        <v>December</v>
      </c>
      <c r="Q285" s="3">
        <f t="shared" si="11"/>
        <v>45999</v>
      </c>
      <c r="R285" s="36" t="str" cm="1">
        <f t="array" ref="R285">IFERROR(_xlfn.LET(_xlpm.cleaned,TRIM(SUBSTITUTE(A285,CHAR(160)," ")),_xlpm.key,LEFT(_xlpm.cleaned,FIND(" (", _xlpm.cleaned &amp; " (") - 1),_xlpm.lookupArray,TRIM(SUBSTITUTE(Huddle!$AA$2:$AA$25,CHAR(160)," ")),_xlpm.resultRange,Huddle!$Z$2:$Z$25,INDEX(_xlpm.resultRange,MATCH(_xlpm.key, _xlpm.lookupArray, 0))),"")</f>
        <v>Teri</v>
      </c>
    </row>
    <row r="286" spans="1:18" x14ac:dyDescent="0.25">
      <c r="A286" t="s">
        <v>73</v>
      </c>
      <c r="B286" s="27">
        <v>0.10645833333333334</v>
      </c>
      <c r="C286">
        <v>2</v>
      </c>
      <c r="D286" s="27">
        <v>1.25E-3</v>
      </c>
      <c r="E286" s="27">
        <v>2.488425925925926E-3</v>
      </c>
      <c r="F286">
        <v>0</v>
      </c>
      <c r="G286" s="27">
        <v>0</v>
      </c>
      <c r="H286" s="27">
        <v>0</v>
      </c>
      <c r="I286" s="34">
        <v>11</v>
      </c>
      <c r="J286" s="27">
        <v>4.5138888888888885E-3</v>
      </c>
      <c r="K286" s="35">
        <v>4.9687500000000002E-2</v>
      </c>
      <c r="L286">
        <v>2</v>
      </c>
      <c r="M286" s="27">
        <v>4.1898148148148146E-3</v>
      </c>
      <c r="N286" s="35">
        <v>8.3796296296296292E-3</v>
      </c>
      <c r="O286" s="3">
        <v>45996</v>
      </c>
      <c r="P286" t="str">
        <f t="shared" ref="P286:P361" si="12">TEXT($O286,"mmmm")</f>
        <v>December</v>
      </c>
      <c r="Q286" s="3">
        <f t="shared" ref="Q286:Q361" si="13">$O286-WEEKDAY($O286,1)+2</f>
        <v>45992</v>
      </c>
      <c r="R286" s="36" t="str" cm="1">
        <f t="array" ref="R286">IFERROR(_xlfn.LET(_xlpm.cleaned,TRIM(SUBSTITUTE($A286,CHAR(160)," ")),_xlpm.key,LEFT(_xlpm.cleaned,FIND(" (",_xlpm.cleaned &amp; " (")-1),_xlpm.lookupArray,TRIM(SUBSTITUTE(Huddle!$AA$2:$AA$25,CHAR(160)," ")),_xlpm.resultRange,Huddle!$Z$2:$Z$25,INDEX(_xlpm.resultRange,MATCH(_xlpm.key,_xlpm.lookupArray,0))),"")</f>
        <v/>
      </c>
    </row>
    <row r="287" spans="1:18" x14ac:dyDescent="0.25">
      <c r="A287" t="s">
        <v>64</v>
      </c>
      <c r="B287" s="27">
        <v>0.64637731481481486</v>
      </c>
      <c r="C287">
        <v>64</v>
      </c>
      <c r="D287" s="27">
        <v>2.9745370370370373E-3</v>
      </c>
      <c r="E287" s="27">
        <v>0.19059027777777779</v>
      </c>
      <c r="F287">
        <v>0</v>
      </c>
      <c r="G287" s="27">
        <v>0</v>
      </c>
      <c r="H287" s="27">
        <v>0</v>
      </c>
      <c r="I287" s="34">
        <v>81</v>
      </c>
      <c r="J287" s="27">
        <v>4.3981481481481481E-4</v>
      </c>
      <c r="K287" s="35">
        <v>3.5937499999999997E-2</v>
      </c>
      <c r="L287">
        <v>7</v>
      </c>
      <c r="M287" s="27">
        <v>4.597222222222222E-2</v>
      </c>
      <c r="N287" s="35">
        <v>0.32179398148148147</v>
      </c>
      <c r="O287" s="3">
        <v>45992</v>
      </c>
      <c r="P287" t="str">
        <f t="shared" si="12"/>
        <v>December</v>
      </c>
      <c r="Q287" s="3">
        <f t="shared" si="13"/>
        <v>45992</v>
      </c>
      <c r="R287" s="36" t="str" cm="1">
        <f t="array" ref="R287">IFERROR(_xlfn.LET(_xlpm.cleaned,TRIM(SUBSTITUTE($A287,CHAR(160),"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288" spans="1:18" x14ac:dyDescent="0.25">
      <c r="A288" t="s">
        <v>64</v>
      </c>
      <c r="B288" s="27">
        <v>0.64703703703703708</v>
      </c>
      <c r="C288">
        <v>30</v>
      </c>
      <c r="D288" s="27">
        <v>2.1296296296296298E-3</v>
      </c>
      <c r="E288" s="27">
        <v>6.3796296296296295E-2</v>
      </c>
      <c r="F288">
        <v>0</v>
      </c>
      <c r="G288" s="27">
        <v>0</v>
      </c>
      <c r="H288" s="27">
        <v>0</v>
      </c>
      <c r="I288" s="34">
        <v>72</v>
      </c>
      <c r="J288" s="27">
        <v>4.3981481481481481E-4</v>
      </c>
      <c r="K288" s="35">
        <v>3.2025462962962964E-2</v>
      </c>
      <c r="L288">
        <v>14</v>
      </c>
      <c r="M288" s="27">
        <v>2.5925925925925925E-2</v>
      </c>
      <c r="N288" s="35">
        <v>0.36300925925925925</v>
      </c>
      <c r="O288" s="3">
        <v>45993</v>
      </c>
      <c r="P288" t="str">
        <f t="shared" si="12"/>
        <v>December</v>
      </c>
      <c r="Q288" s="3">
        <f t="shared" si="13"/>
        <v>45992</v>
      </c>
      <c r="R288" s="36" t="str" cm="1">
        <f t="array" ref="R288">IFERROR(_xlfn.LET(_xlpm.cleaned,TRIM(SUBSTITUTE($A288,CHAR(160),"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289" spans="1:18" x14ac:dyDescent="0.25">
      <c r="A289" t="s">
        <v>64</v>
      </c>
      <c r="B289" s="27">
        <v>0.30641203703703701</v>
      </c>
      <c r="C289">
        <v>29</v>
      </c>
      <c r="D289" s="27">
        <v>1.9675925925925924E-3</v>
      </c>
      <c r="E289" s="27">
        <v>5.7175925925925929E-2</v>
      </c>
      <c r="F289">
        <v>0</v>
      </c>
      <c r="G289" s="27">
        <v>0</v>
      </c>
      <c r="H289" s="27">
        <v>0</v>
      </c>
      <c r="I289" s="34">
        <v>89</v>
      </c>
      <c r="J289" s="27">
        <v>4.1666666666666669E-4</v>
      </c>
      <c r="K289" s="35">
        <v>3.7002314814814814E-2</v>
      </c>
      <c r="L289">
        <v>6</v>
      </c>
      <c r="M289" s="27">
        <v>2.6041666666666665E-3</v>
      </c>
      <c r="N289" s="35">
        <v>1.5648148148148147E-2</v>
      </c>
      <c r="O289" s="3">
        <v>45994</v>
      </c>
      <c r="P289" t="str">
        <f t="shared" si="12"/>
        <v>December</v>
      </c>
      <c r="Q289" s="3">
        <f t="shared" si="13"/>
        <v>45992</v>
      </c>
      <c r="R289" s="36" t="str" cm="1">
        <f t="array" ref="R289">IFERROR(_xlfn.LET(_xlpm.cleaned,TRIM(SUBSTITUTE($A289,CHAR(160),"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290" spans="1:18" x14ac:dyDescent="0.25">
      <c r="A290" t="s">
        <v>64</v>
      </c>
      <c r="B290" s="27">
        <v>0.31783564814814813</v>
      </c>
      <c r="C290">
        <v>22</v>
      </c>
      <c r="D290" s="27">
        <v>2.7083333333333334E-3</v>
      </c>
      <c r="E290" s="27">
        <v>5.9525462962962961E-2</v>
      </c>
      <c r="F290">
        <v>2</v>
      </c>
      <c r="G290" s="27">
        <v>2.2222222222222222E-3</v>
      </c>
      <c r="H290" s="27">
        <v>4.4560185185185189E-3</v>
      </c>
      <c r="I290" s="34">
        <v>45</v>
      </c>
      <c r="J290" s="27">
        <v>4.3981481481481481E-4</v>
      </c>
      <c r="K290" s="35">
        <v>1.9976851851851853E-2</v>
      </c>
      <c r="L290">
        <v>7</v>
      </c>
      <c r="M290" s="27">
        <v>4.3287037037037035E-3</v>
      </c>
      <c r="N290" s="35">
        <v>3.0277777777777778E-2</v>
      </c>
      <c r="O290" s="3">
        <v>45995</v>
      </c>
      <c r="P290" t="str">
        <f t="shared" si="12"/>
        <v>December</v>
      </c>
      <c r="Q290" s="3">
        <f t="shared" si="13"/>
        <v>45992</v>
      </c>
      <c r="R290" s="36" t="str" cm="1">
        <f t="array" ref="R290">IFERROR(_xlfn.LET(_xlpm.cleaned,TRIM(SUBSTITUTE($A290,CHAR(160),"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291" spans="1:18" x14ac:dyDescent="0.25">
      <c r="A291" t="s">
        <v>64</v>
      </c>
      <c r="B291" s="27">
        <v>0.32238425925925923</v>
      </c>
      <c r="C291">
        <v>27</v>
      </c>
      <c r="D291" s="27">
        <v>2.4652777777777776E-3</v>
      </c>
      <c r="E291" s="27">
        <v>6.6562499999999997E-2</v>
      </c>
      <c r="F291">
        <v>0</v>
      </c>
      <c r="G291" s="27">
        <v>0</v>
      </c>
      <c r="H291" s="27">
        <v>0</v>
      </c>
      <c r="I291" s="34">
        <v>65</v>
      </c>
      <c r="J291" s="27">
        <v>3.8194444444444446E-4</v>
      </c>
      <c r="K291" s="35">
        <v>2.4872685185185185E-2</v>
      </c>
      <c r="L291">
        <v>8</v>
      </c>
      <c r="M291" s="27">
        <v>3.3912037037037036E-3</v>
      </c>
      <c r="N291" s="35">
        <v>2.7129629629629629E-2</v>
      </c>
      <c r="O291" s="3">
        <v>45996</v>
      </c>
      <c r="P291" t="str">
        <f t="shared" si="12"/>
        <v>December</v>
      </c>
      <c r="Q291" s="3">
        <f t="shared" si="13"/>
        <v>45992</v>
      </c>
      <c r="R291" s="36" t="str" cm="1">
        <f t="array" ref="R291">IFERROR(_xlfn.LET(_xlpm.cleaned,TRIM(SUBSTITUTE($A291,CHAR(160),"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292" spans="1:18" x14ac:dyDescent="0.25">
      <c r="A292" t="s">
        <v>66</v>
      </c>
      <c r="B292" s="27">
        <v>0.32442129629629629</v>
      </c>
      <c r="C292">
        <v>35</v>
      </c>
      <c r="D292" s="27">
        <v>1.3425925925925925E-3</v>
      </c>
      <c r="E292" s="27">
        <v>4.715277777777778E-2</v>
      </c>
      <c r="F292">
        <v>1</v>
      </c>
      <c r="G292" s="27">
        <v>1.8981481481481482E-3</v>
      </c>
      <c r="H292" s="27">
        <v>1.8981481481481482E-3</v>
      </c>
      <c r="I292" s="34">
        <v>38</v>
      </c>
      <c r="J292" s="27">
        <v>2.0833333333333335E-4</v>
      </c>
      <c r="K292" s="35">
        <v>8.1018518518518514E-3</v>
      </c>
      <c r="L292">
        <v>26</v>
      </c>
      <c r="M292" s="27">
        <v>4.7916666666666663E-3</v>
      </c>
      <c r="N292" s="35">
        <v>0.12456018518518519</v>
      </c>
      <c r="O292" s="3">
        <v>45993</v>
      </c>
      <c r="P292" t="str">
        <f t="shared" si="12"/>
        <v>December</v>
      </c>
      <c r="Q292" s="3">
        <f t="shared" si="13"/>
        <v>45992</v>
      </c>
      <c r="R292" s="36" t="str" cm="1">
        <f t="array" ref="R292">IFERROR(_xlfn.LET(_xlpm.cleaned,TRIM(SUBSTITUTE($A292,CHAR(160),"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293" spans="1:18" x14ac:dyDescent="0.25">
      <c r="A293" t="s">
        <v>66</v>
      </c>
      <c r="B293" s="27">
        <v>0.35275462962962961</v>
      </c>
      <c r="C293">
        <v>23</v>
      </c>
      <c r="D293" s="27">
        <v>2.2337962962962962E-3</v>
      </c>
      <c r="E293" s="27">
        <v>5.1446759259259262E-2</v>
      </c>
      <c r="F293">
        <v>1</v>
      </c>
      <c r="G293" s="27">
        <v>3.8541666666666668E-3</v>
      </c>
      <c r="H293" s="27">
        <v>3.8541666666666668E-3</v>
      </c>
      <c r="I293" s="34">
        <v>28</v>
      </c>
      <c r="J293" s="27">
        <v>1.8518518518518518E-4</v>
      </c>
      <c r="K293" s="35">
        <v>5.3125000000000004E-3</v>
      </c>
      <c r="L293">
        <v>16</v>
      </c>
      <c r="M293" s="27">
        <v>6.5972222222222222E-3</v>
      </c>
      <c r="N293" s="35">
        <v>0.10564814814814814</v>
      </c>
      <c r="O293" s="3">
        <v>45994</v>
      </c>
      <c r="P293" t="str">
        <f t="shared" si="12"/>
        <v>December</v>
      </c>
      <c r="Q293" s="3">
        <f t="shared" si="13"/>
        <v>45992</v>
      </c>
      <c r="R293" s="36" t="str" cm="1">
        <f t="array" ref="R293">IFERROR(_xlfn.LET(_xlpm.cleaned,TRIM(SUBSTITUTE($A293,CHAR(160),"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294" spans="1:18" x14ac:dyDescent="0.25">
      <c r="A294" t="s">
        <v>66</v>
      </c>
      <c r="B294" s="27">
        <v>0.26560185185185187</v>
      </c>
      <c r="C294">
        <v>17</v>
      </c>
      <c r="D294" s="27">
        <v>2.2800925925925927E-3</v>
      </c>
      <c r="E294" s="27">
        <v>3.878472222222222E-2</v>
      </c>
      <c r="F294">
        <v>0</v>
      </c>
      <c r="G294" s="27">
        <v>0</v>
      </c>
      <c r="H294" s="27">
        <v>0</v>
      </c>
      <c r="I294" s="34">
        <v>21</v>
      </c>
      <c r="J294" s="27">
        <v>2.6620370370370372E-4</v>
      </c>
      <c r="K294" s="35">
        <v>5.6597222222222222E-3</v>
      </c>
      <c r="L294">
        <v>19</v>
      </c>
      <c r="M294" s="27">
        <v>4.2476851851851851E-3</v>
      </c>
      <c r="N294" s="35">
        <v>8.0671296296296297E-2</v>
      </c>
      <c r="O294" s="3">
        <v>45995</v>
      </c>
      <c r="P294" t="str">
        <f t="shared" si="12"/>
        <v>December</v>
      </c>
      <c r="Q294" s="3">
        <f t="shared" si="13"/>
        <v>45992</v>
      </c>
      <c r="R294" s="36" t="str" cm="1">
        <f t="array" ref="R294">IFERROR(_xlfn.LET(_xlpm.cleaned,TRIM(SUBSTITUTE($A294,CHAR(160),"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295" spans="1:18" x14ac:dyDescent="0.25">
      <c r="A295" t="s">
        <v>66</v>
      </c>
      <c r="B295" s="27">
        <v>0.34280092592592593</v>
      </c>
      <c r="C295">
        <v>35</v>
      </c>
      <c r="D295" s="27">
        <v>1.7824074074074075E-3</v>
      </c>
      <c r="E295" s="27">
        <v>6.2511574074074081E-2</v>
      </c>
      <c r="F295">
        <v>0</v>
      </c>
      <c r="G295" s="27">
        <v>0</v>
      </c>
      <c r="H295" s="27">
        <v>0</v>
      </c>
      <c r="I295" s="34">
        <v>43</v>
      </c>
      <c r="J295" s="27">
        <v>3.2407407407407406E-4</v>
      </c>
      <c r="K295" s="35">
        <v>1.3796296296296296E-2</v>
      </c>
      <c r="L295">
        <v>24</v>
      </c>
      <c r="M295" s="27">
        <v>2.9861111111111113E-3</v>
      </c>
      <c r="N295" s="35">
        <v>7.1620370370370376E-2</v>
      </c>
      <c r="O295" s="3">
        <v>45996</v>
      </c>
      <c r="P295" t="str">
        <f t="shared" si="12"/>
        <v>December</v>
      </c>
      <c r="Q295" s="3">
        <f t="shared" si="13"/>
        <v>45992</v>
      </c>
      <c r="R295" s="36" t="str" cm="1">
        <f t="array" ref="R295">IFERROR(_xlfn.LET(_xlpm.cleaned,TRIM(SUBSTITUTE($A295,CHAR(160),"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296" spans="1:18" x14ac:dyDescent="0.25">
      <c r="A296" t="s">
        <v>67</v>
      </c>
      <c r="B296" s="27">
        <v>0.31006944444444445</v>
      </c>
      <c r="C296">
        <v>26</v>
      </c>
      <c r="D296" s="27">
        <v>1.238425925925926E-3</v>
      </c>
      <c r="E296" s="27">
        <v>3.2083333333333332E-2</v>
      </c>
      <c r="F296">
        <v>0</v>
      </c>
      <c r="G296" s="27">
        <v>0</v>
      </c>
      <c r="H296" s="27">
        <v>0</v>
      </c>
      <c r="I296" s="34">
        <v>39</v>
      </c>
      <c r="J296" s="27">
        <v>1.9791666666666668E-3</v>
      </c>
      <c r="K296" s="35">
        <v>7.7268518518518514E-2</v>
      </c>
      <c r="L296">
        <v>4</v>
      </c>
      <c r="M296" s="27">
        <v>3.7164351851851851E-2</v>
      </c>
      <c r="N296" s="35">
        <v>0.1486574074074074</v>
      </c>
      <c r="O296" s="3">
        <v>45992</v>
      </c>
      <c r="P296" t="str">
        <f t="shared" si="12"/>
        <v>December</v>
      </c>
      <c r="Q296" s="3">
        <f t="shared" si="13"/>
        <v>45992</v>
      </c>
      <c r="R296" s="36" t="str" cm="1">
        <f t="array" ref="R296">IFERROR(_xlfn.LET(_xlpm.cleaned,TRIM(SUBSTITUTE($A296,CHAR(160),"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297" spans="1:18" x14ac:dyDescent="0.25">
      <c r="A297" t="s">
        <v>67</v>
      </c>
      <c r="B297" s="27">
        <v>0.25155092592592593</v>
      </c>
      <c r="C297">
        <v>8</v>
      </c>
      <c r="D297" s="27">
        <v>1.3310185185185185E-3</v>
      </c>
      <c r="E297" s="27">
        <v>1.0648148148148148E-2</v>
      </c>
      <c r="F297">
        <v>0</v>
      </c>
      <c r="G297" s="27">
        <v>0</v>
      </c>
      <c r="H297" s="27">
        <v>0</v>
      </c>
      <c r="I297" s="34">
        <v>28</v>
      </c>
      <c r="J297" s="27">
        <v>6.134259259259259E-4</v>
      </c>
      <c r="K297" s="35">
        <v>1.7060185185185185E-2</v>
      </c>
      <c r="L297">
        <v>3</v>
      </c>
      <c r="M297" s="27">
        <v>3.8402777777777779E-2</v>
      </c>
      <c r="N297" s="35">
        <v>0.11519675925925926</v>
      </c>
      <c r="O297" s="3">
        <v>45993</v>
      </c>
      <c r="P297" t="str">
        <f t="shared" si="12"/>
        <v>December</v>
      </c>
      <c r="Q297" s="3">
        <f t="shared" si="13"/>
        <v>45992</v>
      </c>
      <c r="R297" s="36" t="str" cm="1">
        <f t="array" ref="R297">IFERROR(_xlfn.LET(_xlpm.cleaned,TRIM(SUBSTITUTE($A297,CHAR(160),"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298" spans="1:18" x14ac:dyDescent="0.25">
      <c r="A298" t="s">
        <v>67</v>
      </c>
      <c r="B298" s="27">
        <v>0.34795138888888888</v>
      </c>
      <c r="C298">
        <v>17</v>
      </c>
      <c r="D298" s="27">
        <v>1.2037037037037038E-3</v>
      </c>
      <c r="E298" s="27">
        <v>2.0555555555555556E-2</v>
      </c>
      <c r="F298">
        <v>1</v>
      </c>
      <c r="G298" s="27">
        <v>2.3958333333333331E-3</v>
      </c>
      <c r="H298" s="27">
        <v>2.3958333333333331E-3</v>
      </c>
      <c r="I298" s="34">
        <v>58</v>
      </c>
      <c r="J298" s="27">
        <v>6.5972222222222224E-4</v>
      </c>
      <c r="K298" s="35">
        <v>3.8460648148148147E-2</v>
      </c>
      <c r="L298">
        <v>8</v>
      </c>
      <c r="M298" s="27">
        <v>7.5810185185185182E-3</v>
      </c>
      <c r="N298" s="35">
        <v>6.06712962962963E-2</v>
      </c>
      <c r="O298" s="3">
        <v>45995</v>
      </c>
      <c r="P298" t="str">
        <f t="shared" si="12"/>
        <v>December</v>
      </c>
      <c r="Q298" s="3">
        <f t="shared" si="13"/>
        <v>45992</v>
      </c>
      <c r="R298" s="36" t="str" cm="1">
        <f t="array" ref="R298">IFERROR(_xlfn.LET(_xlpm.cleaned,TRIM(SUBSTITUTE($A298,CHAR(160),"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299" spans="1:18" x14ac:dyDescent="0.25">
      <c r="A299" t="s">
        <v>67</v>
      </c>
      <c r="B299" s="27">
        <v>0.13561342592592593</v>
      </c>
      <c r="C299">
        <v>1</v>
      </c>
      <c r="D299" s="27">
        <v>5.3240740740740744E-4</v>
      </c>
      <c r="E299" s="27">
        <v>5.3240740740740744E-4</v>
      </c>
      <c r="F299">
        <v>0</v>
      </c>
      <c r="G299" s="27">
        <v>0</v>
      </c>
      <c r="H299" s="27">
        <v>0</v>
      </c>
      <c r="I299" s="34">
        <v>17</v>
      </c>
      <c r="J299" s="27">
        <v>5.5555555555555556E-4</v>
      </c>
      <c r="K299" s="35">
        <v>9.4212962962962957E-3</v>
      </c>
      <c r="L299">
        <v>3</v>
      </c>
      <c r="M299" s="27">
        <v>2.8148148148148148E-2</v>
      </c>
      <c r="N299" s="35">
        <v>8.4444444444444447E-2</v>
      </c>
      <c r="O299" s="3">
        <v>45996</v>
      </c>
      <c r="P299" t="str">
        <f t="shared" si="12"/>
        <v>December</v>
      </c>
      <c r="Q299" s="3">
        <f t="shared" si="13"/>
        <v>45992</v>
      </c>
      <c r="R299" s="36" t="str" cm="1">
        <f t="array" ref="R299">IFERROR(_xlfn.LET(_xlpm.cleaned,TRIM(SUBSTITUTE($A299,CHAR(160),"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300" spans="1:18" x14ac:dyDescent="0.25">
      <c r="A300" t="s">
        <v>68</v>
      </c>
      <c r="B300" s="27">
        <v>0.30384259259259261</v>
      </c>
      <c r="C300">
        <v>40</v>
      </c>
      <c r="D300" s="27">
        <v>4.2013888888888891E-3</v>
      </c>
      <c r="E300" s="27">
        <v>0.16817129629629629</v>
      </c>
      <c r="F300">
        <v>0</v>
      </c>
      <c r="G300" s="27">
        <v>0</v>
      </c>
      <c r="H300" s="27">
        <v>0</v>
      </c>
      <c r="I300" s="34">
        <v>54</v>
      </c>
      <c r="J300" s="27">
        <v>4.5138888888888887E-4</v>
      </c>
      <c r="K300" s="35">
        <v>2.4074074074074074E-2</v>
      </c>
      <c r="L300">
        <v>9</v>
      </c>
      <c r="M300" s="27">
        <v>2.8356481481481483E-3</v>
      </c>
      <c r="N300" s="35">
        <v>2.5555555555555557E-2</v>
      </c>
      <c r="O300" s="3">
        <v>45992</v>
      </c>
      <c r="P300" t="str">
        <f t="shared" si="12"/>
        <v>December</v>
      </c>
      <c r="Q300" s="3">
        <f t="shared" si="13"/>
        <v>45992</v>
      </c>
      <c r="R300" s="36" t="str" cm="1">
        <f t="array" ref="R300">IFERROR(_xlfn.LET(_xlpm.cleaned,TRIM(SUBSTITUTE($A300,CHAR(160),"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01" spans="1:18" x14ac:dyDescent="0.25">
      <c r="A301" t="s">
        <v>68</v>
      </c>
      <c r="B301" s="27">
        <v>0.30633101851851852</v>
      </c>
      <c r="C301">
        <v>20</v>
      </c>
      <c r="D301" s="27">
        <v>3.1481481481481482E-3</v>
      </c>
      <c r="E301" s="27">
        <v>6.3067129629629626E-2</v>
      </c>
      <c r="F301">
        <v>0</v>
      </c>
      <c r="G301" s="27">
        <v>0</v>
      </c>
      <c r="H301" s="27">
        <v>0</v>
      </c>
      <c r="I301" s="34">
        <v>35</v>
      </c>
      <c r="J301" s="27">
        <v>1.4467592592592592E-3</v>
      </c>
      <c r="K301" s="35">
        <v>5.047453703703704E-2</v>
      </c>
      <c r="L301">
        <v>5</v>
      </c>
      <c r="M301" s="27">
        <v>4.31712962962963E-3</v>
      </c>
      <c r="N301" s="35">
        <v>2.1597222222222223E-2</v>
      </c>
      <c r="O301" s="3">
        <v>45993</v>
      </c>
      <c r="P301" t="str">
        <f t="shared" si="12"/>
        <v>December</v>
      </c>
      <c r="Q301" s="3">
        <f t="shared" si="13"/>
        <v>45992</v>
      </c>
      <c r="R301" s="36" t="str" cm="1">
        <f t="array" ref="R301">IFERROR(_xlfn.LET(_xlpm.cleaned,TRIM(SUBSTITUTE($A301,CHAR(160),"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02" spans="1:18" x14ac:dyDescent="0.25">
      <c r="A302" t="s">
        <v>68</v>
      </c>
      <c r="B302" s="27">
        <v>0.2903472222222222</v>
      </c>
      <c r="C302">
        <v>14</v>
      </c>
      <c r="D302" s="27">
        <v>2.5000000000000001E-3</v>
      </c>
      <c r="E302" s="27">
        <v>3.4988425925925923E-2</v>
      </c>
      <c r="F302">
        <v>1</v>
      </c>
      <c r="G302" s="27">
        <v>1.9328703703703704E-3</v>
      </c>
      <c r="H302" s="27">
        <v>1.9328703703703704E-3</v>
      </c>
      <c r="I302" s="34">
        <v>48</v>
      </c>
      <c r="J302" s="27">
        <v>1.1226851851851851E-3</v>
      </c>
      <c r="K302" s="35">
        <v>5.3877314814814815E-2</v>
      </c>
      <c r="L302">
        <v>5</v>
      </c>
      <c r="M302" s="27">
        <v>5.3587962962962964E-3</v>
      </c>
      <c r="N302" s="35">
        <v>2.6805555555555555E-2</v>
      </c>
      <c r="O302" s="3">
        <v>45994</v>
      </c>
      <c r="P302" t="str">
        <f t="shared" si="12"/>
        <v>December</v>
      </c>
      <c r="Q302" s="3">
        <f t="shared" si="13"/>
        <v>45992</v>
      </c>
      <c r="R302" s="36" t="str" cm="1">
        <f t="array" ref="R302">IFERROR(_xlfn.LET(_xlpm.cleaned,TRIM(SUBSTITUTE($A302,CHAR(160),"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03" spans="1:18" x14ac:dyDescent="0.25">
      <c r="A303" t="s">
        <v>68</v>
      </c>
      <c r="B303" s="27">
        <v>0.29745370370370372</v>
      </c>
      <c r="C303">
        <v>24</v>
      </c>
      <c r="D303" s="27">
        <v>2.7199074074074074E-3</v>
      </c>
      <c r="E303" s="27">
        <v>6.5335648148148143E-2</v>
      </c>
      <c r="F303">
        <v>1</v>
      </c>
      <c r="G303" s="27">
        <v>2.2106481481481482E-3</v>
      </c>
      <c r="H303" s="27">
        <v>2.2106481481481482E-3</v>
      </c>
      <c r="I303" s="34">
        <v>35</v>
      </c>
      <c r="J303" s="27">
        <v>6.5972222222222224E-4</v>
      </c>
      <c r="K303" s="35">
        <v>2.2974537037037036E-2</v>
      </c>
      <c r="L303">
        <v>6</v>
      </c>
      <c r="M303" s="27">
        <v>3.3449074074074076E-3</v>
      </c>
      <c r="N303" s="35">
        <v>2.0092592592592592E-2</v>
      </c>
      <c r="O303" s="3">
        <v>45995</v>
      </c>
      <c r="P303" t="str">
        <f t="shared" si="12"/>
        <v>December</v>
      </c>
      <c r="Q303" s="3">
        <f t="shared" si="13"/>
        <v>45992</v>
      </c>
      <c r="R303" s="36" t="str" cm="1">
        <f t="array" ref="R303">IFERROR(_xlfn.LET(_xlpm.cleaned,TRIM(SUBSTITUTE($A303,CHAR(160),"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04" spans="1:18" x14ac:dyDescent="0.25">
      <c r="A304" t="s">
        <v>68</v>
      </c>
      <c r="B304" s="27">
        <v>0.29313657407407406</v>
      </c>
      <c r="C304">
        <v>21</v>
      </c>
      <c r="D304" s="27">
        <v>1.9907407407407408E-3</v>
      </c>
      <c r="E304" s="27">
        <v>4.1909722222222223E-2</v>
      </c>
      <c r="F304">
        <v>1</v>
      </c>
      <c r="G304" s="27">
        <v>4.3981481481481481E-4</v>
      </c>
      <c r="H304" s="27">
        <v>4.3981481481481481E-4</v>
      </c>
      <c r="I304" s="34">
        <v>38</v>
      </c>
      <c r="J304" s="27">
        <v>5.5555555555555556E-4</v>
      </c>
      <c r="K304" s="35">
        <v>2.1157407407407406E-2</v>
      </c>
      <c r="L304">
        <v>7</v>
      </c>
      <c r="M304" s="27">
        <v>3.7731481481481483E-3</v>
      </c>
      <c r="N304" s="35">
        <v>2.6388888888888889E-2</v>
      </c>
      <c r="O304" s="3">
        <v>45996</v>
      </c>
      <c r="P304" t="str">
        <f t="shared" si="12"/>
        <v>December</v>
      </c>
      <c r="Q304" s="3">
        <f t="shared" si="13"/>
        <v>45992</v>
      </c>
      <c r="R304" s="36" t="str" cm="1">
        <f t="array" ref="R304">IFERROR(_xlfn.LET(_xlpm.cleaned,TRIM(SUBSTITUTE($A304,CHAR(160),"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05" spans="1:18" x14ac:dyDescent="0.25">
      <c r="A305" t="s">
        <v>69</v>
      </c>
      <c r="B305" s="27">
        <v>0.27914351851851854</v>
      </c>
      <c r="C305">
        <v>11</v>
      </c>
      <c r="D305" s="27">
        <v>2.4652777777777776E-3</v>
      </c>
      <c r="E305" s="27">
        <v>2.7071759259259261E-2</v>
      </c>
      <c r="F305">
        <v>0</v>
      </c>
      <c r="G305" s="27">
        <v>0</v>
      </c>
      <c r="H305" s="27">
        <v>0</v>
      </c>
      <c r="I305" s="34">
        <v>35</v>
      </c>
      <c r="J305" s="27">
        <v>4.31712962962963E-3</v>
      </c>
      <c r="K305" s="35">
        <v>0.15103009259259259</v>
      </c>
      <c r="L305">
        <v>5</v>
      </c>
      <c r="M305" s="27">
        <v>8.6574074074074071E-3</v>
      </c>
      <c r="N305" s="35">
        <v>4.3287037037037034E-2</v>
      </c>
      <c r="O305" s="3">
        <v>45992</v>
      </c>
      <c r="P305" t="str">
        <f t="shared" si="12"/>
        <v>December</v>
      </c>
      <c r="Q305" s="3">
        <f t="shared" si="13"/>
        <v>45992</v>
      </c>
      <c r="R305" s="36" t="str" cm="1">
        <f t="array" ref="R305">IFERROR(_xlfn.LET(_xlpm.cleaned,TRIM(SUBSTITUTE($A305,CHAR(160),"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06" spans="1:18" x14ac:dyDescent="0.25">
      <c r="A306" t="s">
        <v>69</v>
      </c>
      <c r="B306" s="27">
        <v>0.25843749999999999</v>
      </c>
      <c r="C306">
        <v>10</v>
      </c>
      <c r="D306" s="27">
        <v>3.0902777777777777E-3</v>
      </c>
      <c r="E306" s="27">
        <v>3.0868055555555555E-2</v>
      </c>
      <c r="F306">
        <v>0</v>
      </c>
      <c r="G306" s="27">
        <v>0</v>
      </c>
      <c r="H306" s="27">
        <v>0</v>
      </c>
      <c r="I306" s="34">
        <v>52</v>
      </c>
      <c r="J306" s="27">
        <v>1.5509259259259259E-3</v>
      </c>
      <c r="K306" s="35">
        <v>8.0590277777777775E-2</v>
      </c>
      <c r="L306">
        <v>1</v>
      </c>
      <c r="M306" s="27">
        <v>6.7824074074074071E-3</v>
      </c>
      <c r="N306" s="35">
        <v>6.7824074074074071E-3</v>
      </c>
      <c r="O306" s="3">
        <v>45993</v>
      </c>
      <c r="P306" t="str">
        <f t="shared" si="12"/>
        <v>December</v>
      </c>
      <c r="Q306" s="3">
        <f t="shared" si="13"/>
        <v>45992</v>
      </c>
      <c r="R306" s="36" t="str" cm="1">
        <f t="array" ref="R306">IFERROR(_xlfn.LET(_xlpm.cleaned,TRIM(SUBSTITUTE($A306,CHAR(160),"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07" spans="1:18" x14ac:dyDescent="0.25">
      <c r="A307" t="s">
        <v>69</v>
      </c>
      <c r="B307" s="27">
        <v>0.28237268518518521</v>
      </c>
      <c r="C307">
        <v>7</v>
      </c>
      <c r="D307" s="27">
        <v>4.0509259259259257E-3</v>
      </c>
      <c r="E307" s="27">
        <v>2.8368055555555556E-2</v>
      </c>
      <c r="F307">
        <v>0</v>
      </c>
      <c r="G307" s="27">
        <v>0</v>
      </c>
      <c r="H307" s="27">
        <v>0</v>
      </c>
      <c r="I307" s="34">
        <v>25</v>
      </c>
      <c r="J307" s="27">
        <v>1.8055555555555555E-3</v>
      </c>
      <c r="K307" s="35">
        <v>4.5138888888888888E-2</v>
      </c>
      <c r="L307">
        <v>5</v>
      </c>
      <c r="M307" s="27">
        <v>1.3194444444444444E-2</v>
      </c>
      <c r="N307" s="35">
        <v>6.5960648148148143E-2</v>
      </c>
      <c r="O307" s="3">
        <v>45994</v>
      </c>
      <c r="P307" t="str">
        <f t="shared" si="12"/>
        <v>December</v>
      </c>
      <c r="Q307" s="3">
        <f t="shared" si="13"/>
        <v>45992</v>
      </c>
      <c r="R307" s="36" t="str" cm="1">
        <f t="array" ref="R307">IFERROR(_xlfn.LET(_xlpm.cleaned,TRIM(SUBSTITUTE($A307,CHAR(160),"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08" spans="1:18" x14ac:dyDescent="0.25">
      <c r="A308" t="s">
        <v>69</v>
      </c>
      <c r="B308" s="27">
        <v>0.25788194444444446</v>
      </c>
      <c r="C308">
        <v>2</v>
      </c>
      <c r="D308" s="27">
        <v>4.2361111111111115E-3</v>
      </c>
      <c r="E308" s="27">
        <v>8.4837962962962966E-3</v>
      </c>
      <c r="F308">
        <v>0</v>
      </c>
      <c r="G308" s="27">
        <v>0</v>
      </c>
      <c r="H308" s="27">
        <v>0</v>
      </c>
      <c r="I308" s="34">
        <v>31</v>
      </c>
      <c r="J308" s="27">
        <v>2.9629629629629628E-3</v>
      </c>
      <c r="K308" s="35">
        <v>9.1979166666666667E-2</v>
      </c>
      <c r="L308">
        <v>4</v>
      </c>
      <c r="M308" s="27">
        <v>9.2129629629629627E-3</v>
      </c>
      <c r="N308" s="35">
        <v>3.6840277777777777E-2</v>
      </c>
      <c r="O308" s="3">
        <v>45995</v>
      </c>
      <c r="P308" t="str">
        <f t="shared" si="12"/>
        <v>December</v>
      </c>
      <c r="Q308" s="3">
        <f t="shared" si="13"/>
        <v>45992</v>
      </c>
      <c r="R308" s="36" t="str" cm="1">
        <f t="array" ref="R308">IFERROR(_xlfn.LET(_xlpm.cleaned,TRIM(SUBSTITUTE($A308,CHAR(160),"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09" spans="1:18" x14ac:dyDescent="0.25">
      <c r="A309" t="s">
        <v>69</v>
      </c>
      <c r="B309" s="27">
        <v>0.25394675925925925</v>
      </c>
      <c r="C309">
        <v>10</v>
      </c>
      <c r="D309" s="27">
        <v>2.5000000000000001E-3</v>
      </c>
      <c r="E309" s="27">
        <v>2.5046296296296296E-2</v>
      </c>
      <c r="F309">
        <v>0</v>
      </c>
      <c r="G309" s="27">
        <v>0</v>
      </c>
      <c r="H309" s="27">
        <v>0</v>
      </c>
      <c r="I309" s="34">
        <v>37</v>
      </c>
      <c r="J309" s="27">
        <v>2.0717592592592593E-3</v>
      </c>
      <c r="K309" s="35">
        <v>7.6863425925925932E-2</v>
      </c>
      <c r="L309">
        <v>6</v>
      </c>
      <c r="M309" s="27">
        <v>6.2268518518518515E-3</v>
      </c>
      <c r="N309" s="35">
        <v>3.7361111111111109E-2</v>
      </c>
      <c r="O309" s="3">
        <v>45996</v>
      </c>
      <c r="P309" t="str">
        <f t="shared" si="12"/>
        <v>December</v>
      </c>
      <c r="Q309" s="3">
        <f t="shared" si="13"/>
        <v>45992</v>
      </c>
      <c r="R309" s="36" t="str" cm="1">
        <f t="array" ref="R309">IFERROR(_xlfn.LET(_xlpm.cleaned,TRIM(SUBSTITUTE($A309,CHAR(160),"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10" spans="1:18" x14ac:dyDescent="0.25">
      <c r="A310" t="s">
        <v>70</v>
      </c>
      <c r="B310" s="27">
        <v>0.32215277777777779</v>
      </c>
      <c r="C310">
        <v>30</v>
      </c>
      <c r="D310" s="27">
        <v>3.1944444444444446E-3</v>
      </c>
      <c r="E310" s="27">
        <v>9.5752314814814818E-2</v>
      </c>
      <c r="F310">
        <v>0</v>
      </c>
      <c r="G310" s="27">
        <v>0</v>
      </c>
      <c r="H310" s="27">
        <v>0</v>
      </c>
      <c r="I310" s="34">
        <v>68</v>
      </c>
      <c r="J310" s="27">
        <v>1.6550925925925926E-3</v>
      </c>
      <c r="K310" s="35">
        <v>0.11273148148148149</v>
      </c>
      <c r="L310">
        <v>0</v>
      </c>
      <c r="M310" s="27">
        <v>0</v>
      </c>
      <c r="N310" s="35">
        <v>0</v>
      </c>
      <c r="O310" s="3">
        <v>45992</v>
      </c>
      <c r="P310" t="str">
        <f t="shared" si="12"/>
        <v>December</v>
      </c>
      <c r="Q310" s="3">
        <f t="shared" si="13"/>
        <v>45992</v>
      </c>
      <c r="R310" s="36" t="str" cm="1">
        <f t="array" ref="R310">IFERROR(_xlfn.LET(_xlpm.cleaned,TRIM(SUBSTITUTE($A310,CHAR(160),"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11" spans="1:18" x14ac:dyDescent="0.25">
      <c r="A311" t="s">
        <v>70</v>
      </c>
      <c r="B311" s="27">
        <v>0.31767361111111109</v>
      </c>
      <c r="C311">
        <v>12</v>
      </c>
      <c r="D311" s="27">
        <v>2.1990740740740742E-3</v>
      </c>
      <c r="E311" s="27">
        <v>2.6400462962962962E-2</v>
      </c>
      <c r="F311">
        <v>0</v>
      </c>
      <c r="G311" s="27">
        <v>0</v>
      </c>
      <c r="H311" s="27">
        <v>0</v>
      </c>
      <c r="I311" s="34">
        <v>41</v>
      </c>
      <c r="J311" s="27">
        <v>2.2916666666666667E-3</v>
      </c>
      <c r="K311" s="35">
        <v>9.3761574074074081E-2</v>
      </c>
      <c r="L311">
        <v>0</v>
      </c>
      <c r="M311" s="27">
        <v>0</v>
      </c>
      <c r="N311" s="35">
        <v>0</v>
      </c>
      <c r="O311" s="3">
        <v>45993</v>
      </c>
      <c r="P311" t="str">
        <f t="shared" si="12"/>
        <v>December</v>
      </c>
      <c r="Q311" s="3">
        <f t="shared" si="13"/>
        <v>45992</v>
      </c>
      <c r="R311" s="36" t="str" cm="1">
        <f t="array" ref="R311">IFERROR(_xlfn.LET(_xlpm.cleaned,TRIM(SUBSTITUTE($A311,CHAR(160),"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12" spans="1:18" x14ac:dyDescent="0.25">
      <c r="A312" t="s">
        <v>70</v>
      </c>
      <c r="B312" s="27">
        <v>0.34160879629629631</v>
      </c>
      <c r="C312">
        <v>15</v>
      </c>
      <c r="D312" s="27">
        <v>3.0671296296296297E-3</v>
      </c>
      <c r="E312" s="27">
        <v>4.6053240740740742E-2</v>
      </c>
      <c r="F312">
        <v>0</v>
      </c>
      <c r="G312" s="27">
        <v>0</v>
      </c>
      <c r="H312" s="27">
        <v>0</v>
      </c>
      <c r="I312" s="34">
        <v>43</v>
      </c>
      <c r="J312" s="27">
        <v>1.4236111111111112E-3</v>
      </c>
      <c r="K312" s="35">
        <v>6.1319444444444447E-2</v>
      </c>
      <c r="L312">
        <v>0</v>
      </c>
      <c r="M312" s="27">
        <v>0</v>
      </c>
      <c r="N312" s="35">
        <v>0</v>
      </c>
      <c r="O312" s="3">
        <v>45994</v>
      </c>
      <c r="P312" t="str">
        <f t="shared" si="12"/>
        <v>December</v>
      </c>
      <c r="Q312" s="3">
        <f t="shared" si="13"/>
        <v>45992</v>
      </c>
      <c r="R312" s="36" t="str" cm="1">
        <f t="array" ref="R312">IFERROR(_xlfn.LET(_xlpm.cleaned,TRIM(SUBSTITUTE($A312,CHAR(160),"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13" spans="1:18" x14ac:dyDescent="0.25">
      <c r="A313" t="s">
        <v>70</v>
      </c>
      <c r="B313" s="27">
        <v>0.30717592592592591</v>
      </c>
      <c r="C313">
        <v>19</v>
      </c>
      <c r="D313" s="27">
        <v>2.1875000000000002E-3</v>
      </c>
      <c r="E313" s="27">
        <v>4.1458333333333333E-2</v>
      </c>
      <c r="F313">
        <v>0</v>
      </c>
      <c r="G313" s="27">
        <v>0</v>
      </c>
      <c r="H313" s="27">
        <v>0</v>
      </c>
      <c r="I313" s="34">
        <v>42</v>
      </c>
      <c r="J313" s="27">
        <v>8.6805555555555551E-4</v>
      </c>
      <c r="K313" s="35">
        <v>3.6400462962962961E-2</v>
      </c>
      <c r="L313">
        <v>0</v>
      </c>
      <c r="M313" s="27">
        <v>0</v>
      </c>
      <c r="N313" s="35">
        <v>0</v>
      </c>
      <c r="O313" s="3">
        <v>45995</v>
      </c>
      <c r="P313" t="str">
        <f t="shared" si="12"/>
        <v>December</v>
      </c>
      <c r="Q313" s="3">
        <f t="shared" si="13"/>
        <v>45992</v>
      </c>
      <c r="R313" s="36" t="str" cm="1">
        <f t="array" ref="R313">IFERROR(_xlfn.LET(_xlpm.cleaned,TRIM(SUBSTITUTE($A313,CHAR(160),"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14" spans="1:18" x14ac:dyDescent="0.25">
      <c r="A314" t="s">
        <v>70</v>
      </c>
      <c r="B314" s="27">
        <v>0.24099537037037036</v>
      </c>
      <c r="C314">
        <v>14</v>
      </c>
      <c r="D314" s="27">
        <v>2.7662037037037039E-3</v>
      </c>
      <c r="E314" s="27">
        <v>3.8657407407407404E-2</v>
      </c>
      <c r="F314">
        <v>0</v>
      </c>
      <c r="G314" s="27">
        <v>0</v>
      </c>
      <c r="H314" s="27">
        <v>0</v>
      </c>
      <c r="I314" s="34">
        <v>29</v>
      </c>
      <c r="J314" s="27">
        <v>6.018518518518519E-4</v>
      </c>
      <c r="K314" s="35">
        <v>1.7534722222222222E-2</v>
      </c>
      <c r="L314">
        <v>0</v>
      </c>
      <c r="M314" s="27">
        <v>0</v>
      </c>
      <c r="N314" s="35">
        <v>0</v>
      </c>
      <c r="O314" s="3">
        <v>45996</v>
      </c>
      <c r="P314" t="str">
        <f t="shared" si="12"/>
        <v>December</v>
      </c>
      <c r="Q314" s="3">
        <f t="shared" si="13"/>
        <v>45992</v>
      </c>
      <c r="R314" s="36" t="str" cm="1">
        <f t="array" ref="R314">IFERROR(_xlfn.LET(_xlpm.cleaned,TRIM(SUBSTITUTE($A314,CHAR(160),"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15" spans="1:18" x14ac:dyDescent="0.25">
      <c r="A315" t="s">
        <v>71</v>
      </c>
      <c r="B315" s="27">
        <v>0.64479166666666665</v>
      </c>
      <c r="C315">
        <v>31</v>
      </c>
      <c r="D315" s="27">
        <v>1.1527777777777777E-2</v>
      </c>
      <c r="E315" s="27">
        <v>0.35744212962962962</v>
      </c>
      <c r="F315">
        <v>0</v>
      </c>
      <c r="G315" s="27">
        <v>0</v>
      </c>
      <c r="H315" s="27">
        <v>0</v>
      </c>
      <c r="I315" s="34">
        <v>55</v>
      </c>
      <c r="J315" s="27">
        <v>3.9236111111111112E-3</v>
      </c>
      <c r="K315" s="35">
        <v>0.2159837962962963</v>
      </c>
      <c r="L315">
        <v>0</v>
      </c>
      <c r="M315" s="27">
        <v>0</v>
      </c>
      <c r="N315" s="35">
        <v>0</v>
      </c>
      <c r="O315" s="3">
        <v>45992</v>
      </c>
      <c r="P315" t="str">
        <f t="shared" si="12"/>
        <v>December</v>
      </c>
      <c r="Q315" s="3">
        <f t="shared" si="13"/>
        <v>45992</v>
      </c>
      <c r="R315" s="36" t="str" cm="1">
        <f t="array" ref="R315">IFERROR(_xlfn.LET(_xlpm.cleaned,TRIM(SUBSTITUTE($A315,CHAR(160),"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16" spans="1:18" x14ac:dyDescent="0.25">
      <c r="A316" t="s">
        <v>71</v>
      </c>
      <c r="B316" s="27">
        <v>0.65361111111111114</v>
      </c>
      <c r="C316">
        <v>17</v>
      </c>
      <c r="D316" s="27">
        <v>2.1365740740740741E-2</v>
      </c>
      <c r="E316" s="27">
        <v>0.36318287037037039</v>
      </c>
      <c r="F316">
        <v>0</v>
      </c>
      <c r="G316" s="27">
        <v>0</v>
      </c>
      <c r="H316" s="27">
        <v>0</v>
      </c>
      <c r="I316" s="34">
        <v>37</v>
      </c>
      <c r="J316" s="27">
        <v>4.0046296296296297E-3</v>
      </c>
      <c r="K316" s="35">
        <v>0.14818287037037037</v>
      </c>
      <c r="L316">
        <v>1</v>
      </c>
      <c r="M316" s="27">
        <v>1.5497685185185186E-2</v>
      </c>
      <c r="N316" s="35">
        <v>1.5497685185185186E-2</v>
      </c>
      <c r="O316" s="3">
        <v>45993</v>
      </c>
      <c r="P316" t="str">
        <f t="shared" si="12"/>
        <v>December</v>
      </c>
      <c r="Q316" s="3">
        <f t="shared" si="13"/>
        <v>45992</v>
      </c>
      <c r="R316" s="36" t="str" cm="1">
        <f t="array" ref="R316">IFERROR(_xlfn.LET(_xlpm.cleaned,TRIM(SUBSTITUTE($A316,CHAR(160),"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17" spans="1:18" x14ac:dyDescent="0.25">
      <c r="A317" t="s">
        <v>71</v>
      </c>
      <c r="B317" s="27">
        <v>0.35574074074074075</v>
      </c>
      <c r="C317">
        <v>9</v>
      </c>
      <c r="D317" s="27">
        <v>1.9212962962962964E-3</v>
      </c>
      <c r="E317" s="27">
        <v>1.7280092592592593E-2</v>
      </c>
      <c r="F317">
        <v>0</v>
      </c>
      <c r="G317" s="27">
        <v>0</v>
      </c>
      <c r="H317" s="27">
        <v>0</v>
      </c>
      <c r="I317" s="34">
        <v>32</v>
      </c>
      <c r="J317" s="27">
        <v>5.8796296296296296E-3</v>
      </c>
      <c r="K317" s="35">
        <v>0.18805555555555556</v>
      </c>
      <c r="L317">
        <v>0</v>
      </c>
      <c r="M317" s="27">
        <v>0</v>
      </c>
      <c r="N317" s="35">
        <v>0</v>
      </c>
      <c r="O317" s="3">
        <v>45994</v>
      </c>
      <c r="P317" t="str">
        <f t="shared" si="12"/>
        <v>December</v>
      </c>
      <c r="Q317" s="3">
        <f t="shared" si="13"/>
        <v>45992</v>
      </c>
      <c r="R317" s="36" t="str" cm="1">
        <f t="array" ref="R317">IFERROR(_xlfn.LET(_xlpm.cleaned,TRIM(SUBSTITUTE($A317,CHAR(160),"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18" spans="1:18" x14ac:dyDescent="0.25">
      <c r="A318" t="s">
        <v>71</v>
      </c>
      <c r="B318" s="27">
        <v>0.28846064814814815</v>
      </c>
      <c r="C318">
        <v>7</v>
      </c>
      <c r="D318" s="27">
        <v>1.8402777777777777E-3</v>
      </c>
      <c r="E318" s="27">
        <v>1.2870370370370371E-2</v>
      </c>
      <c r="F318">
        <v>0</v>
      </c>
      <c r="G318" s="27">
        <v>0</v>
      </c>
      <c r="H318" s="27">
        <v>0</v>
      </c>
      <c r="I318" s="34">
        <v>24</v>
      </c>
      <c r="J318" s="27">
        <v>3.3796296296296296E-3</v>
      </c>
      <c r="K318" s="35">
        <v>8.1215277777777775E-2</v>
      </c>
      <c r="L318">
        <v>2</v>
      </c>
      <c r="M318" s="27">
        <v>1.2592592592592593E-2</v>
      </c>
      <c r="N318" s="35">
        <v>2.5185185185185185E-2</v>
      </c>
      <c r="O318" s="3">
        <v>45995</v>
      </c>
      <c r="P318" t="str">
        <f t="shared" si="12"/>
        <v>December</v>
      </c>
      <c r="Q318" s="3">
        <f t="shared" si="13"/>
        <v>45992</v>
      </c>
      <c r="R318" s="36" t="str" cm="1">
        <f t="array" ref="R318">IFERROR(_xlfn.LET(_xlpm.cleaned,TRIM(SUBSTITUTE($A318,CHAR(160),"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19" spans="1:18" x14ac:dyDescent="0.25">
      <c r="A319" t="s">
        <v>71</v>
      </c>
      <c r="B319" s="27">
        <v>0.16667824074074075</v>
      </c>
      <c r="C319">
        <v>3</v>
      </c>
      <c r="D319" s="27">
        <v>2.5925925925925925E-3</v>
      </c>
      <c r="E319" s="27">
        <v>7.7777777777777776E-3</v>
      </c>
      <c r="F319">
        <v>0</v>
      </c>
      <c r="G319" s="27">
        <v>0</v>
      </c>
      <c r="H319" s="27">
        <v>0</v>
      </c>
      <c r="I319" s="34">
        <v>6</v>
      </c>
      <c r="J319" s="27">
        <v>1.8240740740740741E-2</v>
      </c>
      <c r="K319" s="35">
        <v>0.10947916666666667</v>
      </c>
      <c r="L319">
        <v>0</v>
      </c>
      <c r="M319" s="27">
        <v>0</v>
      </c>
      <c r="N319" s="35">
        <v>0</v>
      </c>
      <c r="O319" s="3">
        <v>45996</v>
      </c>
      <c r="P319" t="str">
        <f t="shared" si="12"/>
        <v>December</v>
      </c>
      <c r="Q319" s="3">
        <f t="shared" si="13"/>
        <v>45992</v>
      </c>
      <c r="R319" s="36" t="str" cm="1">
        <f t="array" ref="R319">IFERROR(_xlfn.LET(_xlpm.cleaned,TRIM(SUBSTITUTE($A319,CHAR(160),"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20" spans="1:18" x14ac:dyDescent="0.25">
      <c r="A320" t="s">
        <v>72</v>
      </c>
      <c r="B320" s="27">
        <v>0.31638888888888889</v>
      </c>
      <c r="C320">
        <v>16</v>
      </c>
      <c r="D320" s="27">
        <v>1.4004629629629629E-3</v>
      </c>
      <c r="E320" s="27">
        <v>2.2337962962962962E-2</v>
      </c>
      <c r="F320">
        <v>0</v>
      </c>
      <c r="G320" s="27">
        <v>0</v>
      </c>
      <c r="H320" s="27">
        <v>0</v>
      </c>
      <c r="I320" s="34">
        <v>55</v>
      </c>
      <c r="J320" s="27">
        <v>1.8402777777777777E-3</v>
      </c>
      <c r="K320" s="35">
        <v>0.1012037037037037</v>
      </c>
      <c r="L320">
        <v>1</v>
      </c>
      <c r="M320" s="27">
        <v>8.4953703703703701E-3</v>
      </c>
      <c r="N320" s="35">
        <v>8.4953703703703701E-3</v>
      </c>
      <c r="O320" s="3">
        <v>45993</v>
      </c>
      <c r="P320" t="str">
        <f t="shared" si="12"/>
        <v>December</v>
      </c>
      <c r="Q320" s="3">
        <f t="shared" si="13"/>
        <v>45992</v>
      </c>
      <c r="R320" s="36" t="str" cm="1">
        <f t="array" ref="R320">IFERROR(_xlfn.LET(_xlpm.cleaned,TRIM(SUBSTITUTE($A320,CHAR(160),"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21" spans="1:18" x14ac:dyDescent="0.25">
      <c r="A321" t="s">
        <v>72</v>
      </c>
      <c r="B321" s="27">
        <v>0.29082175925925924</v>
      </c>
      <c r="C321">
        <v>22</v>
      </c>
      <c r="D321" s="27">
        <v>1.5856481481481481E-3</v>
      </c>
      <c r="E321" s="27">
        <v>3.4861111111111114E-2</v>
      </c>
      <c r="F321">
        <v>1</v>
      </c>
      <c r="G321" s="27">
        <v>1.3888888888888889E-3</v>
      </c>
      <c r="H321" s="27">
        <v>1.3888888888888889E-3</v>
      </c>
      <c r="I321" s="34">
        <v>60</v>
      </c>
      <c r="J321" s="27">
        <v>1.261574074074074E-3</v>
      </c>
      <c r="K321" s="35">
        <v>7.5763888888888895E-2</v>
      </c>
      <c r="L321">
        <v>1</v>
      </c>
      <c r="M321" s="27">
        <v>3.6226851851851854E-3</v>
      </c>
      <c r="N321" s="35">
        <v>3.6226851851851854E-3</v>
      </c>
      <c r="O321" s="3">
        <v>45994</v>
      </c>
      <c r="P321" t="str">
        <f t="shared" si="12"/>
        <v>December</v>
      </c>
      <c r="Q321" s="3">
        <f t="shared" si="13"/>
        <v>45992</v>
      </c>
      <c r="R321" s="36" t="str" cm="1">
        <f t="array" ref="R321">IFERROR(_xlfn.LET(_xlpm.cleaned,TRIM(SUBSTITUTE($A321,CHAR(160),"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22" spans="1:18" x14ac:dyDescent="0.25">
      <c r="A322" t="s">
        <v>72</v>
      </c>
      <c r="B322" s="27">
        <v>0.29457175925925927</v>
      </c>
      <c r="C322">
        <v>14</v>
      </c>
      <c r="D322" s="27">
        <v>1.736111111111111E-3</v>
      </c>
      <c r="E322" s="27">
        <v>2.4340277777777777E-2</v>
      </c>
      <c r="F322">
        <v>1</v>
      </c>
      <c r="G322" s="27">
        <v>5.0578703703703706E-3</v>
      </c>
      <c r="H322" s="27">
        <v>5.0578703703703706E-3</v>
      </c>
      <c r="I322" s="34">
        <v>47</v>
      </c>
      <c r="J322" s="27">
        <v>1.0416666666666667E-3</v>
      </c>
      <c r="K322" s="35">
        <v>4.8761574074074075E-2</v>
      </c>
      <c r="L322">
        <v>3</v>
      </c>
      <c r="M322" s="27">
        <v>5.4745370370370373E-3</v>
      </c>
      <c r="N322" s="35">
        <v>1.6423611111111111E-2</v>
      </c>
      <c r="O322" s="3">
        <v>45995</v>
      </c>
      <c r="P322" t="str">
        <f t="shared" si="12"/>
        <v>December</v>
      </c>
      <c r="Q322" s="3">
        <f t="shared" si="13"/>
        <v>45992</v>
      </c>
      <c r="R322" s="36" t="str" cm="1">
        <f t="array" ref="R322">IFERROR(_xlfn.LET(_xlpm.cleaned,TRIM(SUBSTITUTE($A322,CHAR(160),"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23" spans="1:18" x14ac:dyDescent="0.25">
      <c r="A323" t="s">
        <v>72</v>
      </c>
      <c r="B323" s="27">
        <v>0.29540509259259257</v>
      </c>
      <c r="C323">
        <v>11</v>
      </c>
      <c r="D323" s="27">
        <v>2.1527777777777778E-3</v>
      </c>
      <c r="E323" s="27">
        <v>2.3680555555555555E-2</v>
      </c>
      <c r="F323">
        <v>0</v>
      </c>
      <c r="G323" s="27">
        <v>0</v>
      </c>
      <c r="H323" s="27">
        <v>0</v>
      </c>
      <c r="I323" s="34">
        <v>32</v>
      </c>
      <c r="J323" s="27">
        <v>1.7824074074074075E-3</v>
      </c>
      <c r="K323" s="35">
        <v>5.6886574074074076E-2</v>
      </c>
      <c r="L323">
        <v>4</v>
      </c>
      <c r="M323" s="27">
        <v>1.0393518518518519E-2</v>
      </c>
      <c r="N323" s="35">
        <v>4.1550925925925929E-2</v>
      </c>
      <c r="O323" s="3">
        <v>45996</v>
      </c>
      <c r="P323" t="str">
        <f t="shared" si="12"/>
        <v>December</v>
      </c>
      <c r="Q323" s="3">
        <f t="shared" si="13"/>
        <v>45992</v>
      </c>
      <c r="R323" s="36" t="str" cm="1">
        <f t="array" ref="R323">IFERROR(_xlfn.LET(_xlpm.cleaned,TRIM(SUBSTITUTE($A323,CHAR(160),"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24" spans="1:18" x14ac:dyDescent="0.25">
      <c r="A324" t="s">
        <v>73</v>
      </c>
      <c r="B324" s="27">
        <v>0.13203703703703704</v>
      </c>
      <c r="C324">
        <v>2</v>
      </c>
      <c r="D324" s="27">
        <v>1.4583333333333334E-3</v>
      </c>
      <c r="E324" s="27">
        <v>2.9166666666666668E-3</v>
      </c>
      <c r="F324">
        <v>0</v>
      </c>
      <c r="G324" s="27">
        <v>0</v>
      </c>
      <c r="H324" s="27">
        <v>0</v>
      </c>
      <c r="I324" s="34">
        <v>15</v>
      </c>
      <c r="J324" s="27">
        <v>5.7638888888888887E-3</v>
      </c>
      <c r="K324" s="35">
        <v>8.6446759259259265E-2</v>
      </c>
      <c r="L324">
        <v>0</v>
      </c>
      <c r="M324" s="27">
        <v>0</v>
      </c>
      <c r="N324" s="35">
        <v>0</v>
      </c>
      <c r="O324" s="3">
        <v>46010</v>
      </c>
      <c r="P324" t="str">
        <f t="shared" si="12"/>
        <v>December</v>
      </c>
      <c r="Q324" s="3">
        <f t="shared" si="13"/>
        <v>46006</v>
      </c>
      <c r="R324" s="36" t="str" cm="1">
        <f t="array" ref="R324">IFERROR(_xlfn.LET(_xlpm.cleaned,TRIM(SUBSTITUTE($A324,CHAR(160)," ")),_xlpm.key,LEFT(_xlpm.cleaned,FIND(" (",_xlpm.cleaned &amp; " (")-1),_xlpm.lookupArray,TRIM(SUBSTITUTE(Huddle!$AA$2:$AA$25,CHAR(160)," ")),_xlpm.resultRange,Huddle!$Z$2:$Z$25,INDEX(_xlpm.resultRange,MATCH(_xlpm.key,_xlpm.lookupArray,0))),"")</f>
        <v/>
      </c>
    </row>
    <row r="325" spans="1:18" x14ac:dyDescent="0.25">
      <c r="A325" t="s">
        <v>64</v>
      </c>
      <c r="B325" s="27">
        <v>0.31004629629629632</v>
      </c>
      <c r="C325">
        <v>39</v>
      </c>
      <c r="D325" s="27">
        <v>2.1643518518518518E-3</v>
      </c>
      <c r="E325" s="27">
        <v>8.4629629629629624E-2</v>
      </c>
      <c r="F325">
        <v>1</v>
      </c>
      <c r="G325" s="27">
        <v>1.4004629629629629E-3</v>
      </c>
      <c r="H325" s="27">
        <v>1.4004629629629629E-3</v>
      </c>
      <c r="I325" s="34">
        <v>66</v>
      </c>
      <c r="J325" s="27">
        <v>3.1250000000000001E-4</v>
      </c>
      <c r="K325" s="35">
        <v>2.0949074074074075E-2</v>
      </c>
      <c r="L325">
        <v>7</v>
      </c>
      <c r="M325" s="27">
        <v>4.2824074074074075E-3</v>
      </c>
      <c r="N325" s="35">
        <v>2.9953703703703705E-2</v>
      </c>
      <c r="O325" s="3">
        <v>46006</v>
      </c>
      <c r="P325" t="str">
        <f t="shared" si="12"/>
        <v>December</v>
      </c>
      <c r="Q325" s="3">
        <f t="shared" si="13"/>
        <v>46006</v>
      </c>
      <c r="R325" s="36" t="str" cm="1">
        <f t="array" ref="R325">IFERROR(_xlfn.LET(_xlpm.cleaned,TRIM(SUBSTITUTE($A325,CHAR(160),"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326" spans="1:18" x14ac:dyDescent="0.25">
      <c r="A326" t="s">
        <v>64</v>
      </c>
      <c r="B326" s="27">
        <v>0.31715277777777778</v>
      </c>
      <c r="C326">
        <v>35</v>
      </c>
      <c r="D326" s="27">
        <v>2.3379629629629631E-3</v>
      </c>
      <c r="E326" s="27">
        <v>8.1956018518518525E-2</v>
      </c>
      <c r="F326">
        <v>0</v>
      </c>
      <c r="G326" s="27">
        <v>0</v>
      </c>
      <c r="H326" s="27">
        <v>0</v>
      </c>
      <c r="I326" s="34">
        <v>68</v>
      </c>
      <c r="J326" s="27">
        <v>3.2407407407407406E-4</v>
      </c>
      <c r="K326" s="35">
        <v>2.1944444444444444E-2</v>
      </c>
      <c r="L326">
        <v>8</v>
      </c>
      <c r="M326" s="27">
        <v>3.1712962962962962E-3</v>
      </c>
      <c r="N326" s="35">
        <v>2.5405092592592594E-2</v>
      </c>
      <c r="O326" s="3">
        <v>46007</v>
      </c>
      <c r="P326" t="str">
        <f t="shared" si="12"/>
        <v>December</v>
      </c>
      <c r="Q326" s="3">
        <f t="shared" si="13"/>
        <v>46006</v>
      </c>
      <c r="R326" s="36" t="str" cm="1">
        <f t="array" ref="R326">IFERROR(_xlfn.LET(_xlpm.cleaned,TRIM(SUBSTITUTE($A326,CHAR(160),"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327" spans="1:18" x14ac:dyDescent="0.25">
      <c r="A327" t="s">
        <v>64</v>
      </c>
      <c r="B327" s="27">
        <v>0.31381944444444443</v>
      </c>
      <c r="C327">
        <v>36</v>
      </c>
      <c r="D327" s="27">
        <v>1.9791666666666668E-3</v>
      </c>
      <c r="E327" s="27">
        <v>7.1423611111111104E-2</v>
      </c>
      <c r="F327">
        <v>1</v>
      </c>
      <c r="G327" s="27">
        <v>2.7893518518518519E-3</v>
      </c>
      <c r="H327" s="27">
        <v>2.7893518518518519E-3</v>
      </c>
      <c r="I327" s="34">
        <v>74</v>
      </c>
      <c r="J327" s="27">
        <v>3.4722222222222224E-4</v>
      </c>
      <c r="K327" s="35">
        <v>2.5752314814814815E-2</v>
      </c>
      <c r="L327">
        <v>4</v>
      </c>
      <c r="M327" s="27">
        <v>3.425925925925926E-3</v>
      </c>
      <c r="N327" s="35">
        <v>1.3715277777777778E-2</v>
      </c>
      <c r="O327" s="3">
        <v>46008</v>
      </c>
      <c r="P327" t="str">
        <f t="shared" si="12"/>
        <v>December</v>
      </c>
      <c r="Q327" s="3">
        <f t="shared" si="13"/>
        <v>46006</v>
      </c>
      <c r="R327" s="36" t="str" cm="1">
        <f t="array" ref="R327">IFERROR(_xlfn.LET(_xlpm.cleaned,TRIM(SUBSTITUTE($A327,CHAR(160),"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328" spans="1:18" x14ac:dyDescent="0.25">
      <c r="A328" t="s">
        <v>64</v>
      </c>
      <c r="B328" s="27">
        <v>0.32234953703703706</v>
      </c>
      <c r="C328">
        <v>35</v>
      </c>
      <c r="D328" s="27">
        <v>1.7824074074074075E-3</v>
      </c>
      <c r="E328" s="27">
        <v>6.2407407407407404E-2</v>
      </c>
      <c r="F328">
        <v>0</v>
      </c>
      <c r="G328" s="27">
        <v>0</v>
      </c>
      <c r="H328" s="27">
        <v>0</v>
      </c>
      <c r="I328" s="34">
        <v>57</v>
      </c>
      <c r="J328" s="27">
        <v>3.8194444444444446E-4</v>
      </c>
      <c r="K328" s="35">
        <v>2.2037037037037036E-2</v>
      </c>
      <c r="L328">
        <v>7</v>
      </c>
      <c r="M328" s="27">
        <v>3.0324074074074073E-3</v>
      </c>
      <c r="N328" s="35">
        <v>2.1203703703703704E-2</v>
      </c>
      <c r="O328" s="3">
        <v>46009</v>
      </c>
      <c r="P328" t="str">
        <f t="shared" si="12"/>
        <v>December</v>
      </c>
      <c r="Q328" s="3">
        <f t="shared" si="13"/>
        <v>46006</v>
      </c>
      <c r="R328" s="36" t="str" cm="1">
        <f t="array" ref="R328">IFERROR(_xlfn.LET(_xlpm.cleaned,TRIM(SUBSTITUTE($A328,CHAR(160),"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329" spans="1:18" x14ac:dyDescent="0.25">
      <c r="A329" t="s">
        <v>64</v>
      </c>
      <c r="B329" s="27">
        <v>0.32233796296296297</v>
      </c>
      <c r="C329">
        <v>44</v>
      </c>
      <c r="D329" s="27">
        <v>2.2800925925925927E-3</v>
      </c>
      <c r="E329" s="27">
        <v>0.1004513888888889</v>
      </c>
      <c r="F329">
        <v>1</v>
      </c>
      <c r="G329" s="27">
        <v>1.5046296296296296E-3</v>
      </c>
      <c r="H329" s="27">
        <v>1.5046296296296296E-3</v>
      </c>
      <c r="I329" s="34">
        <v>66</v>
      </c>
      <c r="J329" s="27">
        <v>4.7453703703703704E-4</v>
      </c>
      <c r="K329" s="35">
        <v>3.1030092592592592E-2</v>
      </c>
      <c r="L329">
        <v>9</v>
      </c>
      <c r="M329" s="27">
        <v>1.4351851851851852E-3</v>
      </c>
      <c r="N329" s="35">
        <v>1.292824074074074E-2</v>
      </c>
      <c r="O329" s="3">
        <v>46010</v>
      </c>
      <c r="P329" t="str">
        <f t="shared" si="12"/>
        <v>December</v>
      </c>
      <c r="Q329" s="3">
        <f t="shared" si="13"/>
        <v>46006</v>
      </c>
      <c r="R329" s="36" t="str" cm="1">
        <f t="array" ref="R329">IFERROR(_xlfn.LET(_xlpm.cleaned,TRIM(SUBSTITUTE($A329,CHAR(160)," ")),_xlpm.key,LEFT(_xlpm.cleaned,FIND(" (",_xlpm.cleaned &amp; " (")-1),_xlpm.lookupArray,TRIM(SUBSTITUTE(Huddle!$AA$2:$AA$25,CHAR(160)," ")),_xlpm.resultRange,Huddle!$Z$2:$Z$25,INDEX(_xlpm.resultRange,MATCH(_xlpm.key,_xlpm.lookupArray,0))),"")</f>
        <v>Ruth</v>
      </c>
    </row>
    <row r="330" spans="1:18" x14ac:dyDescent="0.25">
      <c r="A330" t="s">
        <v>66</v>
      </c>
      <c r="B330" s="27">
        <v>0.33356481481481481</v>
      </c>
      <c r="C330">
        <v>47</v>
      </c>
      <c r="D330" s="27">
        <v>2.0138888888888888E-3</v>
      </c>
      <c r="E330" s="27">
        <v>9.4548611111111111E-2</v>
      </c>
      <c r="F330">
        <v>0</v>
      </c>
      <c r="G330" s="27">
        <v>0</v>
      </c>
      <c r="H330" s="27">
        <v>0</v>
      </c>
      <c r="I330" s="34">
        <v>50</v>
      </c>
      <c r="J330" s="27">
        <v>2.7777777777777778E-4</v>
      </c>
      <c r="K330" s="35">
        <v>1.3668981481481482E-2</v>
      </c>
      <c r="L330">
        <v>8</v>
      </c>
      <c r="M330" s="27">
        <v>3.6805555555555554E-3</v>
      </c>
      <c r="N330" s="35">
        <v>2.9444444444444443E-2</v>
      </c>
      <c r="O330" s="3">
        <v>46006</v>
      </c>
      <c r="P330" t="str">
        <f t="shared" si="12"/>
        <v>December</v>
      </c>
      <c r="Q330" s="3">
        <f t="shared" si="13"/>
        <v>46006</v>
      </c>
      <c r="R330" s="36" t="str" cm="1">
        <f t="array" ref="R330">IFERROR(_xlfn.LET(_xlpm.cleaned,TRIM(SUBSTITUTE($A330,CHAR(160),"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331" spans="1:18" x14ac:dyDescent="0.25">
      <c r="A331" t="s">
        <v>66</v>
      </c>
      <c r="B331" s="27">
        <v>0.33450231481481479</v>
      </c>
      <c r="C331">
        <v>44</v>
      </c>
      <c r="D331" s="27">
        <v>1.6319444444444445E-3</v>
      </c>
      <c r="E331" s="27">
        <v>7.1886574074074075E-2</v>
      </c>
      <c r="F331">
        <v>1</v>
      </c>
      <c r="G331" s="27">
        <v>2.3495370370370371E-3</v>
      </c>
      <c r="H331" s="27">
        <v>2.3495370370370371E-3</v>
      </c>
      <c r="I331" s="34">
        <v>53</v>
      </c>
      <c r="J331" s="27">
        <v>4.5138888888888887E-4</v>
      </c>
      <c r="K331" s="35">
        <v>2.4004629629629629E-2</v>
      </c>
      <c r="L331">
        <v>9</v>
      </c>
      <c r="M331" s="27">
        <v>4.0162037037037041E-3</v>
      </c>
      <c r="N331" s="35">
        <v>3.6122685185185188E-2</v>
      </c>
      <c r="O331" s="3">
        <v>46007</v>
      </c>
      <c r="P331" t="str">
        <f t="shared" si="12"/>
        <v>December</v>
      </c>
      <c r="Q331" s="3">
        <f t="shared" si="13"/>
        <v>46006</v>
      </c>
      <c r="R331" s="36" t="str" cm="1">
        <f t="array" ref="R331">IFERROR(_xlfn.LET(_xlpm.cleaned,TRIM(SUBSTITUTE($A331,CHAR(160),"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332" spans="1:18" x14ac:dyDescent="0.25">
      <c r="A332" t="s">
        <v>66</v>
      </c>
      <c r="B332" s="27">
        <v>0.32718750000000002</v>
      </c>
      <c r="C332">
        <v>35</v>
      </c>
      <c r="D332" s="27">
        <v>1.724537037037037E-3</v>
      </c>
      <c r="E332" s="27">
        <v>6.0358796296296299E-2</v>
      </c>
      <c r="F332">
        <v>0</v>
      </c>
      <c r="G332" s="27">
        <v>0</v>
      </c>
      <c r="H332" s="27">
        <v>0</v>
      </c>
      <c r="I332" s="34">
        <v>47</v>
      </c>
      <c r="J332" s="27">
        <v>3.4722222222222224E-4</v>
      </c>
      <c r="K332" s="35">
        <v>1.6550925925925927E-2</v>
      </c>
      <c r="L332">
        <v>5</v>
      </c>
      <c r="M332" s="27">
        <v>5.9837962962962961E-3</v>
      </c>
      <c r="N332" s="35">
        <v>2.991898148148148E-2</v>
      </c>
      <c r="O332" s="3">
        <v>46008</v>
      </c>
      <c r="P332" t="str">
        <f t="shared" si="12"/>
        <v>December</v>
      </c>
      <c r="Q332" s="3">
        <f t="shared" si="13"/>
        <v>46006</v>
      </c>
      <c r="R332" s="36" t="str" cm="1">
        <f t="array" ref="R332">IFERROR(_xlfn.LET(_xlpm.cleaned,TRIM(SUBSTITUTE($A332,CHAR(160),"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333" spans="1:18" x14ac:dyDescent="0.25">
      <c r="A333" t="s">
        <v>66</v>
      </c>
      <c r="B333" s="27">
        <v>0.28898148148148151</v>
      </c>
      <c r="C333">
        <v>24</v>
      </c>
      <c r="D333" s="27">
        <v>2.1412037037037038E-3</v>
      </c>
      <c r="E333" s="27">
        <v>5.1273148148148151E-2</v>
      </c>
      <c r="F333">
        <v>1</v>
      </c>
      <c r="G333" s="27">
        <v>1.0879629629629629E-3</v>
      </c>
      <c r="H333" s="27">
        <v>1.0879629629629629E-3</v>
      </c>
      <c r="I333" s="34">
        <v>35</v>
      </c>
      <c r="J333" s="27">
        <v>3.2407407407407406E-4</v>
      </c>
      <c r="K333" s="35">
        <v>1.1516203703703704E-2</v>
      </c>
      <c r="L333">
        <v>5</v>
      </c>
      <c r="M333" s="27">
        <v>5.5555555555555558E-3</v>
      </c>
      <c r="N333" s="35">
        <v>2.7777777777777776E-2</v>
      </c>
      <c r="O333" s="3">
        <v>46009</v>
      </c>
      <c r="P333" t="str">
        <f t="shared" si="12"/>
        <v>December</v>
      </c>
      <c r="Q333" s="3">
        <f t="shared" si="13"/>
        <v>46006</v>
      </c>
      <c r="R333" s="36" t="str" cm="1">
        <f t="array" ref="R333">IFERROR(_xlfn.LET(_xlpm.cleaned,TRIM(SUBSTITUTE($A333,CHAR(160)," ")),_xlpm.key,LEFT(_xlpm.cleaned,FIND(" (",_xlpm.cleaned &amp; " (")-1),_xlpm.lookupArray,TRIM(SUBSTITUTE(Huddle!$AA$2:$AA$25,CHAR(160)," ")),_xlpm.resultRange,Huddle!$Z$2:$Z$25,INDEX(_xlpm.resultRange,MATCH(_xlpm.key,_xlpm.lookupArray,0))),"")</f>
        <v>Grey</v>
      </c>
    </row>
    <row r="334" spans="1:18" x14ac:dyDescent="0.25">
      <c r="A334" t="s">
        <v>67</v>
      </c>
      <c r="B334" s="27">
        <v>0.23399305555555555</v>
      </c>
      <c r="C334">
        <v>12</v>
      </c>
      <c r="D334" s="27">
        <v>1.6550925925925926E-3</v>
      </c>
      <c r="E334" s="27">
        <v>1.9895833333333335E-2</v>
      </c>
      <c r="F334">
        <v>0</v>
      </c>
      <c r="G334" s="27">
        <v>0</v>
      </c>
      <c r="H334" s="27">
        <v>0</v>
      </c>
      <c r="I334" s="34">
        <v>48</v>
      </c>
      <c r="J334" s="27">
        <v>1.1689814814814816E-3</v>
      </c>
      <c r="K334" s="35">
        <v>5.6018518518518516E-2</v>
      </c>
      <c r="L334">
        <v>4</v>
      </c>
      <c r="M334" s="27">
        <v>7.4884259259259262E-3</v>
      </c>
      <c r="N334" s="35">
        <v>2.9965277777777778E-2</v>
      </c>
      <c r="O334" s="3">
        <v>46006</v>
      </c>
      <c r="P334" t="str">
        <f t="shared" si="12"/>
        <v>December</v>
      </c>
      <c r="Q334" s="3">
        <f t="shared" si="13"/>
        <v>46006</v>
      </c>
      <c r="R334" s="36" t="str" cm="1">
        <f t="array" ref="R334">IFERROR(_xlfn.LET(_xlpm.cleaned,TRIM(SUBSTITUTE($A334,CHAR(160),"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335" spans="1:18" x14ac:dyDescent="0.25">
      <c r="A335" t="s">
        <v>67</v>
      </c>
      <c r="B335" s="27">
        <v>6.295138888888889E-2</v>
      </c>
      <c r="C335">
        <v>0</v>
      </c>
      <c r="D335" s="27">
        <v>0</v>
      </c>
      <c r="E335" s="27">
        <v>0</v>
      </c>
      <c r="F335">
        <v>0</v>
      </c>
      <c r="G335" s="27">
        <v>0</v>
      </c>
      <c r="H335" s="27">
        <v>0</v>
      </c>
      <c r="I335" s="34">
        <v>1</v>
      </c>
      <c r="J335" s="27">
        <v>1.1574074074074073E-5</v>
      </c>
      <c r="K335" s="35">
        <v>1.1574074074074073E-5</v>
      </c>
      <c r="L335">
        <v>1</v>
      </c>
      <c r="M335" s="27">
        <v>6.293981481481481E-2</v>
      </c>
      <c r="N335" s="35">
        <v>6.293981481481481E-2</v>
      </c>
      <c r="O335" s="3">
        <v>46007</v>
      </c>
      <c r="P335" t="str">
        <f t="shared" si="12"/>
        <v>December</v>
      </c>
      <c r="Q335" s="3">
        <f t="shared" si="13"/>
        <v>46006</v>
      </c>
      <c r="R335" s="36" t="str" cm="1">
        <f t="array" ref="R335">IFERROR(_xlfn.LET(_xlpm.cleaned,TRIM(SUBSTITUTE($A335,CHAR(160),"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336" spans="1:18" x14ac:dyDescent="0.25">
      <c r="A336" t="s">
        <v>67</v>
      </c>
      <c r="B336" s="27">
        <v>0.33905092592592595</v>
      </c>
      <c r="C336">
        <v>13</v>
      </c>
      <c r="D336" s="27">
        <v>1.6319444444444445E-3</v>
      </c>
      <c r="E336" s="27">
        <v>2.1250000000000002E-2</v>
      </c>
      <c r="F336">
        <v>0</v>
      </c>
      <c r="G336" s="27">
        <v>0</v>
      </c>
      <c r="H336" s="27">
        <v>0</v>
      </c>
      <c r="I336" s="34">
        <v>40</v>
      </c>
      <c r="J336" s="27">
        <v>3.3912037037037036E-3</v>
      </c>
      <c r="K336" s="35">
        <v>0.13583333333333333</v>
      </c>
      <c r="L336">
        <v>2</v>
      </c>
      <c r="M336" s="27">
        <v>2.4641203703703703E-2</v>
      </c>
      <c r="N336" s="35">
        <v>4.9282407407407407E-2</v>
      </c>
      <c r="O336" s="3">
        <v>46009</v>
      </c>
      <c r="P336" t="str">
        <f t="shared" si="12"/>
        <v>December</v>
      </c>
      <c r="Q336" s="3">
        <f t="shared" si="13"/>
        <v>46006</v>
      </c>
      <c r="R336" s="36" t="str" cm="1">
        <f t="array" ref="R336">IFERROR(_xlfn.LET(_xlpm.cleaned,TRIM(SUBSTITUTE($A336,CHAR(160),"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337" spans="1:18" x14ac:dyDescent="0.25">
      <c r="A337" t="s">
        <v>67</v>
      </c>
      <c r="B337" s="27">
        <v>0.19131944444444443</v>
      </c>
      <c r="C337">
        <v>12</v>
      </c>
      <c r="D337" s="27">
        <v>1.4583333333333334E-3</v>
      </c>
      <c r="E337" s="27">
        <v>1.7430555555555557E-2</v>
      </c>
      <c r="F337">
        <v>0</v>
      </c>
      <c r="G337" s="27">
        <v>0</v>
      </c>
      <c r="H337" s="27">
        <v>0</v>
      </c>
      <c r="I337" s="34">
        <v>30</v>
      </c>
      <c r="J337" s="27">
        <v>7.291666666666667E-4</v>
      </c>
      <c r="K337" s="35">
        <v>2.1863425925925925E-2</v>
      </c>
      <c r="L337">
        <v>2</v>
      </c>
      <c r="M337" s="27">
        <v>8.7500000000000008E-3</v>
      </c>
      <c r="N337" s="35">
        <v>1.7511574074074075E-2</v>
      </c>
      <c r="O337" s="3">
        <v>46010</v>
      </c>
      <c r="P337" t="str">
        <f t="shared" si="12"/>
        <v>December</v>
      </c>
      <c r="Q337" s="3">
        <f t="shared" si="13"/>
        <v>46006</v>
      </c>
      <c r="R337" s="36" t="str" cm="1">
        <f t="array" ref="R337">IFERROR(_xlfn.LET(_xlpm.cleaned,TRIM(SUBSTITUTE($A337,CHAR(160)," ")),_xlpm.key,LEFT(_xlpm.cleaned,FIND(" (",_xlpm.cleaned &amp; " (")-1),_xlpm.lookupArray,TRIM(SUBSTITUTE(Huddle!$AA$2:$AA$25,CHAR(160)," ")),_xlpm.resultRange,Huddle!$Z$2:$Z$25,INDEX(_xlpm.resultRange,MATCH(_xlpm.key,_xlpm.lookupArray,0))),"")</f>
        <v>Nicole</v>
      </c>
    </row>
    <row r="338" spans="1:18" x14ac:dyDescent="0.25">
      <c r="A338" t="s">
        <v>68</v>
      </c>
      <c r="B338" s="27">
        <v>0.30291666666666667</v>
      </c>
      <c r="C338">
        <v>25</v>
      </c>
      <c r="D338" s="27">
        <v>2.0949074074074073E-3</v>
      </c>
      <c r="E338" s="27">
        <v>5.2407407407407409E-2</v>
      </c>
      <c r="F338">
        <v>0</v>
      </c>
      <c r="G338" s="27">
        <v>0</v>
      </c>
      <c r="H338" s="27">
        <v>0</v>
      </c>
      <c r="I338" s="34">
        <v>44</v>
      </c>
      <c r="J338" s="27">
        <v>7.6388888888888893E-4</v>
      </c>
      <c r="K338" s="35">
        <v>3.3599537037037039E-2</v>
      </c>
      <c r="L338">
        <v>6</v>
      </c>
      <c r="M338" s="27">
        <v>6.0185185185185185E-3</v>
      </c>
      <c r="N338" s="35">
        <v>3.6076388888888887E-2</v>
      </c>
      <c r="O338" s="3">
        <v>46006</v>
      </c>
      <c r="P338" t="str">
        <f t="shared" si="12"/>
        <v>December</v>
      </c>
      <c r="Q338" s="3">
        <f t="shared" si="13"/>
        <v>46006</v>
      </c>
      <c r="R338" s="36" t="str" cm="1">
        <f t="array" ref="R338">IFERROR(_xlfn.LET(_xlpm.cleaned,TRIM(SUBSTITUTE($A338,CHAR(160),"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39" spans="1:18" x14ac:dyDescent="0.25">
      <c r="A339" t="s">
        <v>68</v>
      </c>
      <c r="B339" s="27">
        <v>0.29680555555555554</v>
      </c>
      <c r="C339">
        <v>32</v>
      </c>
      <c r="D339" s="27">
        <v>2.0717592592592593E-3</v>
      </c>
      <c r="E339" s="27">
        <v>6.6250000000000003E-2</v>
      </c>
      <c r="F339">
        <v>1</v>
      </c>
      <c r="G339" s="27">
        <v>1.2037037037037038E-3</v>
      </c>
      <c r="H339" s="27">
        <v>1.2037037037037038E-3</v>
      </c>
      <c r="I339" s="34">
        <v>44</v>
      </c>
      <c r="J339" s="27">
        <v>4.9768518518518521E-4</v>
      </c>
      <c r="K339" s="35">
        <v>2.1944444444444444E-2</v>
      </c>
      <c r="L339">
        <v>3</v>
      </c>
      <c r="M339" s="27">
        <v>5.347222222222222E-3</v>
      </c>
      <c r="N339" s="35">
        <v>1.6030092592592592E-2</v>
      </c>
      <c r="O339" s="3">
        <v>46007</v>
      </c>
      <c r="P339" t="str">
        <f t="shared" si="12"/>
        <v>December</v>
      </c>
      <c r="Q339" s="3">
        <f t="shared" si="13"/>
        <v>46006</v>
      </c>
      <c r="R339" s="36" t="str" cm="1">
        <f t="array" ref="R339">IFERROR(_xlfn.LET(_xlpm.cleaned,TRIM(SUBSTITUTE($A339,CHAR(160),"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40" spans="1:18" x14ac:dyDescent="0.25">
      <c r="A340" t="s">
        <v>68</v>
      </c>
      <c r="B340" s="27">
        <v>0.2936111111111111</v>
      </c>
      <c r="C340">
        <v>20</v>
      </c>
      <c r="D340" s="27">
        <v>2.5000000000000001E-3</v>
      </c>
      <c r="E340" s="27">
        <v>5.0115740740740738E-2</v>
      </c>
      <c r="F340">
        <v>0</v>
      </c>
      <c r="G340" s="27">
        <v>0</v>
      </c>
      <c r="H340" s="27">
        <v>0</v>
      </c>
      <c r="I340" s="34">
        <v>36</v>
      </c>
      <c r="J340" s="27">
        <v>8.2175925925925927E-4</v>
      </c>
      <c r="K340" s="35">
        <v>2.9456018518518517E-2</v>
      </c>
      <c r="L340">
        <v>3</v>
      </c>
      <c r="M340" s="27">
        <v>3.0671296296296297E-3</v>
      </c>
      <c r="N340" s="35">
        <v>9.2129629629629627E-3</v>
      </c>
      <c r="O340" s="3">
        <v>46008</v>
      </c>
      <c r="P340" t="str">
        <f t="shared" si="12"/>
        <v>December</v>
      </c>
      <c r="Q340" s="3">
        <f t="shared" si="13"/>
        <v>46006</v>
      </c>
      <c r="R340" s="36" t="str" cm="1">
        <f t="array" ref="R340">IFERROR(_xlfn.LET(_xlpm.cleaned,TRIM(SUBSTITUTE($A340,CHAR(160),"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41" spans="1:18" x14ac:dyDescent="0.25">
      <c r="A341" t="s">
        <v>68</v>
      </c>
      <c r="B341" s="27">
        <v>0.29621527777777779</v>
      </c>
      <c r="C341">
        <v>9</v>
      </c>
      <c r="D341" s="27">
        <v>2.0486111111111113E-3</v>
      </c>
      <c r="E341" s="27">
        <v>1.8402777777777778E-2</v>
      </c>
      <c r="F341">
        <v>0</v>
      </c>
      <c r="G341" s="27">
        <v>0</v>
      </c>
      <c r="H341" s="27">
        <v>0</v>
      </c>
      <c r="I341" s="34">
        <v>35</v>
      </c>
      <c r="J341" s="27">
        <v>2.3726851851851851E-3</v>
      </c>
      <c r="K341" s="35">
        <v>8.3032407407407402E-2</v>
      </c>
      <c r="L341">
        <v>5</v>
      </c>
      <c r="M341" s="27">
        <v>4.4212962962962964E-3</v>
      </c>
      <c r="N341" s="35">
        <v>2.2118055555555554E-2</v>
      </c>
      <c r="O341" s="3">
        <v>46009</v>
      </c>
      <c r="P341" t="str">
        <f t="shared" si="12"/>
        <v>December</v>
      </c>
      <c r="Q341" s="3">
        <f t="shared" si="13"/>
        <v>46006</v>
      </c>
      <c r="R341" s="36" t="str" cm="1">
        <f t="array" ref="R341">IFERROR(_xlfn.LET(_xlpm.cleaned,TRIM(SUBSTITUTE($A341,CHAR(160),"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42" spans="1:18" x14ac:dyDescent="0.25">
      <c r="A342" t="s">
        <v>68</v>
      </c>
      <c r="B342" s="27">
        <v>0.29402777777777778</v>
      </c>
      <c r="C342">
        <v>26</v>
      </c>
      <c r="D342" s="27">
        <v>2.8009259259259259E-3</v>
      </c>
      <c r="E342" s="27">
        <v>7.2893518518518524E-2</v>
      </c>
      <c r="F342">
        <v>0</v>
      </c>
      <c r="G342" s="27">
        <v>0</v>
      </c>
      <c r="H342" s="27">
        <v>0</v>
      </c>
      <c r="I342" s="34">
        <v>51</v>
      </c>
      <c r="J342" s="27">
        <v>6.7129629629629625E-4</v>
      </c>
      <c r="K342" s="35">
        <v>3.4027777777777775E-2</v>
      </c>
      <c r="L342">
        <v>3</v>
      </c>
      <c r="M342" s="27">
        <v>5.6249999999999998E-3</v>
      </c>
      <c r="N342" s="35">
        <v>1.6863425925925928E-2</v>
      </c>
      <c r="O342" s="3">
        <v>46010</v>
      </c>
      <c r="P342" t="str">
        <f t="shared" si="12"/>
        <v>December</v>
      </c>
      <c r="Q342" s="3">
        <f t="shared" si="13"/>
        <v>46006</v>
      </c>
      <c r="R342" s="36" t="str" cm="1">
        <f t="array" ref="R342">IFERROR(_xlfn.LET(_xlpm.cleaned,TRIM(SUBSTITUTE($A342,CHAR(160)," ")),_xlpm.key,LEFT(_xlpm.cleaned,FIND(" (",_xlpm.cleaned &amp; " (")-1),_xlpm.lookupArray,TRIM(SUBSTITUTE(Huddle!$AA$2:$AA$25,CHAR(160)," ")),_xlpm.resultRange,Huddle!$Z$2:$Z$25,INDEX(_xlpm.resultRange,MATCH(_xlpm.key,_xlpm.lookupArray,0))),"")</f>
        <v>Nissa</v>
      </c>
    </row>
    <row r="343" spans="1:18" x14ac:dyDescent="0.25">
      <c r="A343" t="s">
        <v>69</v>
      </c>
      <c r="B343" s="27">
        <v>0.60354166666666664</v>
      </c>
      <c r="C343">
        <v>8</v>
      </c>
      <c r="D343" s="27">
        <v>3.425925925925926E-3</v>
      </c>
      <c r="E343" s="27">
        <v>2.7372685185185184E-2</v>
      </c>
      <c r="F343">
        <v>0</v>
      </c>
      <c r="G343" s="27">
        <v>0</v>
      </c>
      <c r="H343" s="27">
        <v>0</v>
      </c>
      <c r="I343" s="34">
        <v>25</v>
      </c>
      <c r="J343" s="27">
        <v>2.0196759259259258E-2</v>
      </c>
      <c r="K343" s="35">
        <v>0.505</v>
      </c>
      <c r="L343">
        <v>3</v>
      </c>
      <c r="M343" s="27">
        <v>2.5925925925925925E-3</v>
      </c>
      <c r="N343" s="35">
        <v>7.789351851851852E-3</v>
      </c>
      <c r="O343" s="3">
        <v>46006</v>
      </c>
      <c r="P343" t="str">
        <f t="shared" si="12"/>
        <v>December</v>
      </c>
      <c r="Q343" s="3">
        <f t="shared" si="13"/>
        <v>46006</v>
      </c>
      <c r="R343" s="36" t="str" cm="1">
        <f t="array" ref="R343">IFERROR(_xlfn.LET(_xlpm.cleaned,TRIM(SUBSTITUTE($A343,CHAR(160),"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44" spans="1:18" x14ac:dyDescent="0.25">
      <c r="A344" t="s">
        <v>69</v>
      </c>
      <c r="B344" s="27">
        <v>0.60936342592592596</v>
      </c>
      <c r="C344">
        <v>7</v>
      </c>
      <c r="D344" s="27">
        <v>2.9629629629629628E-3</v>
      </c>
      <c r="E344" s="27">
        <v>2.074074074074074E-2</v>
      </c>
      <c r="F344">
        <v>0</v>
      </c>
      <c r="G344" s="27">
        <v>0</v>
      </c>
      <c r="H344" s="27">
        <v>0</v>
      </c>
      <c r="I344" s="34">
        <v>33</v>
      </c>
      <c r="J344" s="27">
        <v>1.3553240740740741E-2</v>
      </c>
      <c r="K344" s="35">
        <v>0.44719907407407405</v>
      </c>
      <c r="L344">
        <v>3</v>
      </c>
      <c r="M344" s="27">
        <v>3.449074074074074E-3</v>
      </c>
      <c r="N344" s="35">
        <v>1.0358796296296297E-2</v>
      </c>
      <c r="O344" s="3">
        <v>46007</v>
      </c>
      <c r="P344" t="str">
        <f t="shared" si="12"/>
        <v>December</v>
      </c>
      <c r="Q344" s="3">
        <f t="shared" si="13"/>
        <v>46006</v>
      </c>
      <c r="R344" s="36" t="str" cm="1">
        <f t="array" ref="R344">IFERROR(_xlfn.LET(_xlpm.cleaned,TRIM(SUBSTITUTE($A344,CHAR(160),"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45" spans="1:18" x14ac:dyDescent="0.25">
      <c r="A345" t="s">
        <v>69</v>
      </c>
      <c r="B345" s="27">
        <v>0.26465277777777779</v>
      </c>
      <c r="C345">
        <v>6</v>
      </c>
      <c r="D345" s="27">
        <v>3.5763888888888889E-3</v>
      </c>
      <c r="E345" s="27">
        <v>2.1458333333333333E-2</v>
      </c>
      <c r="F345">
        <v>0</v>
      </c>
      <c r="G345" s="27">
        <v>0</v>
      </c>
      <c r="H345" s="27">
        <v>0</v>
      </c>
      <c r="I345" s="34">
        <v>23</v>
      </c>
      <c r="J345" s="27">
        <v>6.2731481481481484E-3</v>
      </c>
      <c r="K345" s="35">
        <v>0.14434027777777778</v>
      </c>
      <c r="L345">
        <v>2</v>
      </c>
      <c r="M345" s="27">
        <v>1.8287037037037037E-3</v>
      </c>
      <c r="N345" s="35">
        <v>3.6689814814814814E-3</v>
      </c>
      <c r="O345" s="3">
        <v>46008</v>
      </c>
      <c r="P345" t="str">
        <f t="shared" si="12"/>
        <v>December</v>
      </c>
      <c r="Q345" s="3">
        <f t="shared" si="13"/>
        <v>46006</v>
      </c>
      <c r="R345" s="36" t="str" cm="1">
        <f t="array" ref="R345">IFERROR(_xlfn.LET(_xlpm.cleaned,TRIM(SUBSTITUTE($A345,CHAR(160),"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46" spans="1:18" x14ac:dyDescent="0.25">
      <c r="A346" t="s">
        <v>69</v>
      </c>
      <c r="B346" s="27">
        <v>0.25311342592592595</v>
      </c>
      <c r="C346">
        <v>5</v>
      </c>
      <c r="D346" s="27">
        <v>2.9166666666666668E-3</v>
      </c>
      <c r="E346" s="27">
        <v>1.4606481481481481E-2</v>
      </c>
      <c r="F346">
        <v>0</v>
      </c>
      <c r="G346" s="27">
        <v>0</v>
      </c>
      <c r="H346" s="27">
        <v>0</v>
      </c>
      <c r="I346" s="34">
        <v>29</v>
      </c>
      <c r="J346" s="27">
        <v>1.736111111111111E-3</v>
      </c>
      <c r="K346" s="35">
        <v>5.0439814814814812E-2</v>
      </c>
      <c r="L346">
        <v>8</v>
      </c>
      <c r="M346" s="27">
        <v>4.6990740740740743E-3</v>
      </c>
      <c r="N346" s="35">
        <v>3.7615740740740741E-2</v>
      </c>
      <c r="O346" s="3">
        <v>46009</v>
      </c>
      <c r="P346" t="str">
        <f t="shared" si="12"/>
        <v>December</v>
      </c>
      <c r="Q346" s="3">
        <f t="shared" si="13"/>
        <v>46006</v>
      </c>
      <c r="R346" s="36" t="str" cm="1">
        <f t="array" ref="R346">IFERROR(_xlfn.LET(_xlpm.cleaned,TRIM(SUBSTITUTE($A346,CHAR(160),"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47" spans="1:18" x14ac:dyDescent="0.25">
      <c r="A347" t="s">
        <v>69</v>
      </c>
      <c r="B347" s="27">
        <v>0.25057870370370372</v>
      </c>
      <c r="C347">
        <v>11</v>
      </c>
      <c r="D347" s="27">
        <v>3.9004629629629628E-3</v>
      </c>
      <c r="E347" s="27">
        <v>4.2951388888888886E-2</v>
      </c>
      <c r="F347">
        <v>0</v>
      </c>
      <c r="G347" s="27">
        <v>0</v>
      </c>
      <c r="H347" s="27">
        <v>0</v>
      </c>
      <c r="I347" s="34">
        <v>31</v>
      </c>
      <c r="J347" s="27">
        <v>2.5462962962962965E-3</v>
      </c>
      <c r="K347" s="35">
        <v>7.9097222222222222E-2</v>
      </c>
      <c r="L347">
        <v>6</v>
      </c>
      <c r="M347" s="27">
        <v>5.4861111111111109E-3</v>
      </c>
      <c r="N347" s="35">
        <v>3.2893518518518516E-2</v>
      </c>
      <c r="O347" s="3">
        <v>46010</v>
      </c>
      <c r="P347" t="str">
        <f t="shared" si="12"/>
        <v>December</v>
      </c>
      <c r="Q347" s="3">
        <f t="shared" si="13"/>
        <v>46006</v>
      </c>
      <c r="R347" s="36" t="str" cm="1">
        <f t="array" ref="R347">IFERROR(_xlfn.LET(_xlpm.cleaned,TRIM(SUBSTITUTE($A347,CHAR(160)," ")),_xlpm.key,LEFT(_xlpm.cleaned,FIND(" (",_xlpm.cleaned &amp; " (")-1),_xlpm.lookupArray,TRIM(SUBSTITUTE(Huddle!$AA$2:$AA$25,CHAR(160)," ")),_xlpm.resultRange,Huddle!$Z$2:$Z$25,INDEX(_xlpm.resultRange,MATCH(_xlpm.key,_xlpm.lookupArray,0))),"")</f>
        <v>Karen</v>
      </c>
    </row>
    <row r="348" spans="1:18" x14ac:dyDescent="0.25">
      <c r="A348" t="s">
        <v>70</v>
      </c>
      <c r="B348" s="27">
        <v>0.31944444444444442</v>
      </c>
      <c r="C348">
        <v>14</v>
      </c>
      <c r="D348" s="27">
        <v>3.5763888888888889E-3</v>
      </c>
      <c r="E348" s="27">
        <v>5.0057870370370371E-2</v>
      </c>
      <c r="F348">
        <v>0</v>
      </c>
      <c r="G348" s="27">
        <v>0</v>
      </c>
      <c r="H348" s="27">
        <v>0</v>
      </c>
      <c r="I348" s="34">
        <v>53</v>
      </c>
      <c r="J348" s="27">
        <v>9.2592592592592596E-4</v>
      </c>
      <c r="K348" s="35">
        <v>4.8773148148148149E-2</v>
      </c>
      <c r="L348">
        <v>0</v>
      </c>
      <c r="M348" s="27">
        <v>0</v>
      </c>
      <c r="N348" s="35">
        <v>0</v>
      </c>
      <c r="O348" s="3">
        <v>46006</v>
      </c>
      <c r="P348" t="str">
        <f t="shared" si="12"/>
        <v>December</v>
      </c>
      <c r="Q348" s="3">
        <f t="shared" si="13"/>
        <v>46006</v>
      </c>
      <c r="R348" s="36" t="str" cm="1">
        <f t="array" ref="R348">IFERROR(_xlfn.LET(_xlpm.cleaned,TRIM(SUBSTITUTE($A348,CHAR(160),"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49" spans="1:18" x14ac:dyDescent="0.25">
      <c r="A349" t="s">
        <v>70</v>
      </c>
      <c r="B349" s="27">
        <v>0.33471064814814816</v>
      </c>
      <c r="C349">
        <v>24</v>
      </c>
      <c r="D349" s="27">
        <v>1.8749999999999999E-3</v>
      </c>
      <c r="E349" s="27">
        <v>4.4976851851851851E-2</v>
      </c>
      <c r="F349">
        <v>0</v>
      </c>
      <c r="G349" s="27">
        <v>0</v>
      </c>
      <c r="H349" s="27">
        <v>0</v>
      </c>
      <c r="I349" s="34">
        <v>51</v>
      </c>
      <c r="J349" s="27">
        <v>7.291666666666667E-4</v>
      </c>
      <c r="K349" s="35">
        <v>3.7372685185185182E-2</v>
      </c>
      <c r="L349">
        <v>0</v>
      </c>
      <c r="M349" s="27">
        <v>0</v>
      </c>
      <c r="N349" s="35">
        <v>0</v>
      </c>
      <c r="O349" s="3">
        <v>46007</v>
      </c>
      <c r="P349" t="str">
        <f t="shared" si="12"/>
        <v>December</v>
      </c>
      <c r="Q349" s="3">
        <f t="shared" si="13"/>
        <v>46006</v>
      </c>
      <c r="R349" s="36" t="str" cm="1">
        <f t="array" ref="R349">IFERROR(_xlfn.LET(_xlpm.cleaned,TRIM(SUBSTITUTE($A349,CHAR(160),"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50" spans="1:18" x14ac:dyDescent="0.25">
      <c r="A350" t="s">
        <v>70</v>
      </c>
      <c r="B350" s="27">
        <v>0.3432986111111111</v>
      </c>
      <c r="C350">
        <v>14</v>
      </c>
      <c r="D350" s="27">
        <v>1.5856481481481481E-3</v>
      </c>
      <c r="E350" s="27">
        <v>2.2164351851851852E-2</v>
      </c>
      <c r="F350">
        <v>0</v>
      </c>
      <c r="G350" s="27">
        <v>0</v>
      </c>
      <c r="H350" s="27">
        <v>0</v>
      </c>
      <c r="I350" s="34">
        <v>43</v>
      </c>
      <c r="J350" s="27">
        <v>1.8518518518518519E-3</v>
      </c>
      <c r="K350" s="35">
        <v>7.9594907407407406E-2</v>
      </c>
      <c r="L350">
        <v>0</v>
      </c>
      <c r="M350" s="27">
        <v>0</v>
      </c>
      <c r="N350" s="35">
        <v>0</v>
      </c>
      <c r="O350" s="3">
        <v>46008</v>
      </c>
      <c r="P350" t="str">
        <f t="shared" si="12"/>
        <v>December</v>
      </c>
      <c r="Q350" s="3">
        <f t="shared" si="13"/>
        <v>46006</v>
      </c>
      <c r="R350" s="36" t="str" cm="1">
        <f t="array" ref="R350">IFERROR(_xlfn.LET(_xlpm.cleaned,TRIM(SUBSTITUTE($A350,CHAR(160),"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51" spans="1:18" x14ac:dyDescent="0.25">
      <c r="A351" t="s">
        <v>70</v>
      </c>
      <c r="B351" s="27">
        <v>0.31177083333333333</v>
      </c>
      <c r="C351">
        <v>10</v>
      </c>
      <c r="D351" s="27">
        <v>4.1435185185185186E-3</v>
      </c>
      <c r="E351" s="27">
        <v>4.1423611111111112E-2</v>
      </c>
      <c r="F351">
        <v>0</v>
      </c>
      <c r="G351" s="27">
        <v>0</v>
      </c>
      <c r="H351" s="27">
        <v>0</v>
      </c>
      <c r="I351" s="34">
        <v>45</v>
      </c>
      <c r="J351" s="27">
        <v>1.1921296296296296E-3</v>
      </c>
      <c r="K351" s="35">
        <v>5.3703703703703705E-2</v>
      </c>
      <c r="L351">
        <v>0</v>
      </c>
      <c r="M351" s="27">
        <v>0</v>
      </c>
      <c r="N351" s="35">
        <v>0</v>
      </c>
      <c r="O351" s="3">
        <v>46009</v>
      </c>
      <c r="P351" t="str">
        <f t="shared" si="12"/>
        <v>December</v>
      </c>
      <c r="Q351" s="3">
        <f t="shared" si="13"/>
        <v>46006</v>
      </c>
      <c r="R351" s="36" t="str" cm="1">
        <f t="array" ref="R351">IFERROR(_xlfn.LET(_xlpm.cleaned,TRIM(SUBSTITUTE($A351,CHAR(160)," ")),_xlpm.key,LEFT(_xlpm.cleaned,FIND(" (",_xlpm.cleaned &amp; " (")-1),_xlpm.lookupArray,TRIM(SUBSTITUTE(Huddle!$AA$2:$AA$25,CHAR(160)," ")),_xlpm.resultRange,Huddle!$Z$2:$Z$25,INDEX(_xlpm.resultRange,MATCH(_xlpm.key,_xlpm.lookupArray,0))),"")</f>
        <v>Serena</v>
      </c>
    </row>
    <row r="352" spans="1:18" x14ac:dyDescent="0.25">
      <c r="A352" t="s">
        <v>71</v>
      </c>
      <c r="B352" s="27">
        <v>0.30648148148148147</v>
      </c>
      <c r="C352">
        <v>10</v>
      </c>
      <c r="D352" s="27">
        <v>1.7476851851851852E-3</v>
      </c>
      <c r="E352" s="27">
        <v>1.7476851851851851E-2</v>
      </c>
      <c r="F352">
        <v>0</v>
      </c>
      <c r="G352" s="27">
        <v>0</v>
      </c>
      <c r="H352" s="27">
        <v>0</v>
      </c>
      <c r="I352" s="34">
        <v>25</v>
      </c>
      <c r="J352" s="27">
        <v>5.3125000000000004E-3</v>
      </c>
      <c r="K352" s="35">
        <v>0.13274305555555554</v>
      </c>
      <c r="L352">
        <v>0</v>
      </c>
      <c r="M352" s="27">
        <v>0</v>
      </c>
      <c r="N352" s="35">
        <v>0</v>
      </c>
      <c r="O352" s="3">
        <v>46006</v>
      </c>
      <c r="P352" t="str">
        <f t="shared" si="12"/>
        <v>December</v>
      </c>
      <c r="Q352" s="3">
        <f t="shared" si="13"/>
        <v>46006</v>
      </c>
      <c r="R352" s="36" t="str" cm="1">
        <f t="array" ref="R352">IFERROR(_xlfn.LET(_xlpm.cleaned,TRIM(SUBSTITUTE($A352,CHAR(160),"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53" spans="1:18" x14ac:dyDescent="0.25">
      <c r="A353" t="s">
        <v>71</v>
      </c>
      <c r="B353" s="27">
        <v>0.33140046296296294</v>
      </c>
      <c r="C353">
        <v>9</v>
      </c>
      <c r="D353" s="27">
        <v>1.9907407407407408E-3</v>
      </c>
      <c r="E353" s="27">
        <v>1.7928240740740741E-2</v>
      </c>
      <c r="F353">
        <v>0</v>
      </c>
      <c r="G353" s="27">
        <v>0</v>
      </c>
      <c r="H353" s="27">
        <v>0</v>
      </c>
      <c r="I353" s="34">
        <v>34</v>
      </c>
      <c r="J353" s="27">
        <v>5.5208333333333333E-3</v>
      </c>
      <c r="K353" s="35">
        <v>0.18775462962962963</v>
      </c>
      <c r="L353">
        <v>1</v>
      </c>
      <c r="M353" s="27">
        <v>1.8055555555555555E-3</v>
      </c>
      <c r="N353" s="35">
        <v>1.8055555555555555E-3</v>
      </c>
      <c r="O353" s="3">
        <v>46007</v>
      </c>
      <c r="P353" t="str">
        <f t="shared" si="12"/>
        <v>December</v>
      </c>
      <c r="Q353" s="3">
        <f t="shared" si="13"/>
        <v>46006</v>
      </c>
      <c r="R353" s="36" t="str" cm="1">
        <f t="array" ref="R353">IFERROR(_xlfn.LET(_xlpm.cleaned,TRIM(SUBSTITUTE($A353,CHAR(160),"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54" spans="1:18" x14ac:dyDescent="0.25">
      <c r="A354" t="s">
        <v>71</v>
      </c>
      <c r="B354" s="27">
        <v>0.36700231481481482</v>
      </c>
      <c r="C354">
        <v>11</v>
      </c>
      <c r="D354" s="27">
        <v>2.5115740740740741E-3</v>
      </c>
      <c r="E354" s="27">
        <v>2.7627314814814816E-2</v>
      </c>
      <c r="F354">
        <v>0</v>
      </c>
      <c r="G354" s="27">
        <v>0</v>
      </c>
      <c r="H354" s="27">
        <v>0</v>
      </c>
      <c r="I354" s="34">
        <v>27</v>
      </c>
      <c r="J354" s="27">
        <v>7.3495370370370372E-3</v>
      </c>
      <c r="K354" s="35">
        <v>0.19840277777777779</v>
      </c>
      <c r="L354">
        <v>0</v>
      </c>
      <c r="M354" s="27">
        <v>0</v>
      </c>
      <c r="N354" s="35">
        <v>0</v>
      </c>
      <c r="O354" s="3">
        <v>46008</v>
      </c>
      <c r="P354" t="str">
        <f t="shared" si="12"/>
        <v>December</v>
      </c>
      <c r="Q354" s="3">
        <f t="shared" si="13"/>
        <v>46006</v>
      </c>
      <c r="R354" s="36" t="str" cm="1">
        <f t="array" ref="R354">IFERROR(_xlfn.LET(_xlpm.cleaned,TRIM(SUBSTITUTE($A354,CHAR(160),"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55" spans="1:18" x14ac:dyDescent="0.25">
      <c r="A355" t="s">
        <v>71</v>
      </c>
      <c r="B355" s="27">
        <v>0.22348379629629631</v>
      </c>
      <c r="C355">
        <v>3</v>
      </c>
      <c r="D355" s="27">
        <v>1.0300925925925926E-3</v>
      </c>
      <c r="E355" s="27">
        <v>3.1018518518518517E-3</v>
      </c>
      <c r="F355">
        <v>0</v>
      </c>
      <c r="G355" s="27">
        <v>0</v>
      </c>
      <c r="H355" s="27">
        <v>0</v>
      </c>
      <c r="I355" s="34">
        <v>10</v>
      </c>
      <c r="J355" s="27">
        <v>1.5810185185185184E-2</v>
      </c>
      <c r="K355" s="35">
        <v>0.15815972222222222</v>
      </c>
      <c r="L355">
        <v>0</v>
      </c>
      <c r="M355" s="27">
        <v>0</v>
      </c>
      <c r="N355" s="35">
        <v>0</v>
      </c>
      <c r="O355" s="3">
        <v>46009</v>
      </c>
      <c r="P355" t="str">
        <f t="shared" si="12"/>
        <v>December</v>
      </c>
      <c r="Q355" s="3">
        <f t="shared" si="13"/>
        <v>46006</v>
      </c>
      <c r="R355" s="36" t="str" cm="1">
        <f t="array" ref="R355">IFERROR(_xlfn.LET(_xlpm.cleaned,TRIM(SUBSTITUTE($A355,CHAR(160),"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56" spans="1:18" x14ac:dyDescent="0.25">
      <c r="A356" t="s">
        <v>71</v>
      </c>
      <c r="B356" s="27">
        <v>0.14850694444444446</v>
      </c>
      <c r="C356">
        <v>3</v>
      </c>
      <c r="D356" s="27">
        <v>2.5925925925925925E-3</v>
      </c>
      <c r="E356" s="27">
        <v>7.789351851851852E-3</v>
      </c>
      <c r="F356">
        <v>0</v>
      </c>
      <c r="G356" s="27">
        <v>0</v>
      </c>
      <c r="H356" s="27">
        <v>0</v>
      </c>
      <c r="I356" s="34">
        <v>12</v>
      </c>
      <c r="J356" s="27">
        <v>8.5300925925925926E-3</v>
      </c>
      <c r="K356" s="35">
        <v>0.10230324074074074</v>
      </c>
      <c r="L356">
        <v>0</v>
      </c>
      <c r="M356" s="27">
        <v>0</v>
      </c>
      <c r="N356" s="35">
        <v>0</v>
      </c>
      <c r="O356" s="3">
        <v>46010</v>
      </c>
      <c r="P356" t="str">
        <f t="shared" si="12"/>
        <v>December</v>
      </c>
      <c r="Q356" s="3">
        <f t="shared" si="13"/>
        <v>46006</v>
      </c>
      <c r="R356" s="36" t="str" cm="1">
        <f t="array" ref="R356">IFERROR(_xlfn.LET(_xlpm.cleaned,TRIM(SUBSTITUTE($A356,CHAR(160)," ")),_xlpm.key,LEFT(_xlpm.cleaned,FIND(" (",_xlpm.cleaned &amp; " (")-1),_xlpm.lookupArray,TRIM(SUBSTITUTE(Huddle!$AA$2:$AA$25,CHAR(160)," ")),_xlpm.resultRange,Huddle!$Z$2:$Z$25,INDEX(_xlpm.resultRange,MATCH(_xlpm.key,_xlpm.lookupArray,0))),"")</f>
        <v>Allison</v>
      </c>
    </row>
    <row r="357" spans="1:18" x14ac:dyDescent="0.25">
      <c r="A357" t="s">
        <v>72</v>
      </c>
      <c r="B357" s="27">
        <v>0.29596064814814815</v>
      </c>
      <c r="C357">
        <v>20</v>
      </c>
      <c r="D357" s="27">
        <v>1.5277777777777779E-3</v>
      </c>
      <c r="E357" s="27">
        <v>3.0462962962962963E-2</v>
      </c>
      <c r="F357">
        <v>0</v>
      </c>
      <c r="G357" s="27">
        <v>0</v>
      </c>
      <c r="H357" s="27">
        <v>0</v>
      </c>
      <c r="I357" s="34">
        <v>64</v>
      </c>
      <c r="J357" s="27">
        <v>1.6550925925925926E-3</v>
      </c>
      <c r="K357" s="35">
        <v>0.10570601851851852</v>
      </c>
      <c r="L357">
        <v>1</v>
      </c>
      <c r="M357" s="27">
        <v>1.8518518518518519E-3</v>
      </c>
      <c r="N357" s="35">
        <v>1.8518518518518519E-3</v>
      </c>
      <c r="O357" s="3">
        <v>46006</v>
      </c>
      <c r="P357" t="str">
        <f t="shared" si="12"/>
        <v>December</v>
      </c>
      <c r="Q357" s="3">
        <f t="shared" si="13"/>
        <v>46006</v>
      </c>
      <c r="R357" s="36" t="str" cm="1">
        <f t="array" ref="R357">IFERROR(_xlfn.LET(_xlpm.cleaned,TRIM(SUBSTITUTE($A357,CHAR(160),"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58" spans="1:18" x14ac:dyDescent="0.25">
      <c r="A358" t="s">
        <v>72</v>
      </c>
      <c r="B358" s="27">
        <v>0.29348379629629628</v>
      </c>
      <c r="C358">
        <v>19</v>
      </c>
      <c r="D358" s="27">
        <v>1.3425925925925925E-3</v>
      </c>
      <c r="E358" s="27">
        <v>2.5567129629629631E-2</v>
      </c>
      <c r="F358">
        <v>0</v>
      </c>
      <c r="G358" s="27">
        <v>0</v>
      </c>
      <c r="H358" s="27">
        <v>0</v>
      </c>
      <c r="I358" s="34">
        <v>63</v>
      </c>
      <c r="J358" s="27">
        <v>1.5393518518518519E-3</v>
      </c>
      <c r="K358" s="35">
        <v>9.6655092592592598E-2</v>
      </c>
      <c r="L358">
        <v>3</v>
      </c>
      <c r="M358" s="27">
        <v>5.0578703703703706E-3</v>
      </c>
      <c r="N358" s="35">
        <v>1.5173611111111112E-2</v>
      </c>
      <c r="O358" s="3">
        <v>46007</v>
      </c>
      <c r="P358" t="str">
        <f t="shared" si="12"/>
        <v>December</v>
      </c>
      <c r="Q358" s="3">
        <f t="shared" si="13"/>
        <v>46006</v>
      </c>
      <c r="R358" s="36" t="str" cm="1">
        <f t="array" ref="R358">IFERROR(_xlfn.LET(_xlpm.cleaned,TRIM(SUBSTITUTE($A358,CHAR(160),"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59" spans="1:18" x14ac:dyDescent="0.25">
      <c r="A359" t="s">
        <v>72</v>
      </c>
      <c r="B359" s="27">
        <v>0.23745370370370369</v>
      </c>
      <c r="C359">
        <v>13</v>
      </c>
      <c r="D359" s="27">
        <v>1.3657407407407407E-3</v>
      </c>
      <c r="E359" s="27">
        <v>1.7719907407407406E-2</v>
      </c>
      <c r="F359">
        <v>0</v>
      </c>
      <c r="G359" s="27">
        <v>0</v>
      </c>
      <c r="H359" s="27">
        <v>0</v>
      </c>
      <c r="I359" s="34">
        <v>45</v>
      </c>
      <c r="J359" s="27">
        <v>1.0532407407407407E-3</v>
      </c>
      <c r="K359" s="35">
        <v>4.7372685185185184E-2</v>
      </c>
      <c r="L359">
        <v>2</v>
      </c>
      <c r="M359" s="27">
        <v>5.0694444444444441E-3</v>
      </c>
      <c r="N359" s="35">
        <v>1.0127314814814815E-2</v>
      </c>
      <c r="O359" s="3">
        <v>46008</v>
      </c>
      <c r="P359" t="str">
        <f t="shared" si="12"/>
        <v>December</v>
      </c>
      <c r="Q359" s="3">
        <f t="shared" si="13"/>
        <v>46006</v>
      </c>
      <c r="R359" s="36" t="str" cm="1">
        <f t="array" ref="R359">IFERROR(_xlfn.LET(_xlpm.cleaned,TRIM(SUBSTITUTE($A359,CHAR(160),"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60" spans="1:18" x14ac:dyDescent="0.25">
      <c r="A360" t="s">
        <v>72</v>
      </c>
      <c r="B360" s="27">
        <v>0.29074074074074074</v>
      </c>
      <c r="C360">
        <v>24</v>
      </c>
      <c r="D360" s="27">
        <v>1.238425925925926E-3</v>
      </c>
      <c r="E360" s="27">
        <v>2.9733796296296296E-2</v>
      </c>
      <c r="F360">
        <v>0</v>
      </c>
      <c r="G360" s="27">
        <v>0</v>
      </c>
      <c r="H360" s="27">
        <v>0</v>
      </c>
      <c r="I360" s="34">
        <v>45</v>
      </c>
      <c r="J360" s="27">
        <v>1.1458333333333333E-3</v>
      </c>
      <c r="K360" s="35">
        <v>5.1770833333333335E-2</v>
      </c>
      <c r="L360">
        <v>2</v>
      </c>
      <c r="M360" s="27">
        <v>5.6134259259259262E-3</v>
      </c>
      <c r="N360" s="35">
        <v>1.1226851851851852E-2</v>
      </c>
      <c r="O360" s="3">
        <v>46009</v>
      </c>
      <c r="P360" t="str">
        <f t="shared" si="12"/>
        <v>December</v>
      </c>
      <c r="Q360" s="3">
        <f t="shared" si="13"/>
        <v>46006</v>
      </c>
      <c r="R360" s="36" t="str" cm="1">
        <f t="array" ref="R360">IFERROR(_xlfn.LET(_xlpm.cleaned,TRIM(SUBSTITUTE($A360,CHAR(160),"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  <row r="361" spans="1:18" x14ac:dyDescent="0.25">
      <c r="A361" t="s">
        <v>72</v>
      </c>
      <c r="B361" s="27">
        <v>0.26305555555555554</v>
      </c>
      <c r="C361">
        <v>12</v>
      </c>
      <c r="D361" s="27">
        <v>1.4583333333333334E-3</v>
      </c>
      <c r="E361" s="27">
        <v>1.744212962962963E-2</v>
      </c>
      <c r="F361">
        <v>0</v>
      </c>
      <c r="G361" s="27">
        <v>0</v>
      </c>
      <c r="H361" s="27">
        <v>0</v>
      </c>
      <c r="I361" s="34">
        <v>35</v>
      </c>
      <c r="J361" s="27">
        <v>4.9189814814814816E-3</v>
      </c>
      <c r="K361" s="35">
        <v>0.1723611111111111</v>
      </c>
      <c r="L361">
        <v>0</v>
      </c>
      <c r="M361" s="27">
        <v>0</v>
      </c>
      <c r="N361" s="35">
        <v>0</v>
      </c>
      <c r="O361" s="3">
        <v>46010</v>
      </c>
      <c r="P361" t="str">
        <f t="shared" si="12"/>
        <v>December</v>
      </c>
      <c r="Q361" s="3">
        <f t="shared" si="13"/>
        <v>46006</v>
      </c>
      <c r="R361" s="36" t="str" cm="1">
        <f t="array" ref="R361">IFERROR(_xlfn.LET(_xlpm.cleaned,TRIM(SUBSTITUTE($A361,CHAR(160)," ")),_xlpm.key,LEFT(_xlpm.cleaned,FIND(" (",_xlpm.cleaned &amp; " (")-1),_xlpm.lookupArray,TRIM(SUBSTITUTE(Huddle!$AA$2:$AA$25,CHAR(160)," ")),_xlpm.resultRange,Huddle!$Z$2:$Z$25,INDEX(_xlpm.resultRange,MATCH(_xlpm.key,_xlpm.lookupArray,0))),"")</f>
        <v>Teri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201-6439-4D41-A16D-47EA55A011CC}">
  <sheetPr codeName="Sheet6"/>
  <dimension ref="A1"/>
  <sheetViews>
    <sheetView tabSelected="1" workbookViewId="0"/>
  </sheetViews>
  <sheetFormatPr defaultRowHeight="15" x14ac:dyDescent="0.25"/>
  <cols>
    <col min="1" max="16384" width="9.140625" style="38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D687B043E6AE4FA8665F636C4CE74B" ma:contentTypeVersion="3" ma:contentTypeDescription="Create a new document." ma:contentTypeScope="" ma:versionID="8f642d5416f503626d4a4865994300ef">
  <xsd:schema xmlns:xsd="http://www.w3.org/2001/XMLSchema" xmlns:xs="http://www.w3.org/2001/XMLSchema" xmlns:p="http://schemas.microsoft.com/office/2006/metadata/properties" xmlns:ns2="b305c77a-9478-46c2-ae58-22a717f973f1" targetNamespace="http://schemas.microsoft.com/office/2006/metadata/properties" ma:root="true" ma:fieldsID="8824a46fdbbed86fb42396271d95c92c" ns2:_="">
    <xsd:import namespace="b305c77a-9478-46c2-ae58-22a717f97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5c77a-9478-46c2-ae58-22a717f973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03F44D-7D68-4C55-B435-EA5FA23CC9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399375-8838-40FC-BDB4-5A0EAC37AE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05c77a-9478-46c2-ae58-22a717f973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8DEC3F-8F63-438F-BEB6-252C6E95F665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b305c77a-9478-46c2-ae58-22a717f973f1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374e17f4-cf11-4ce2-b3ef-5de76bf4ce41}" enabled="0" method="" siteId="{374e17f4-cf11-4ce2-b3ef-5de76bf4ce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</vt:lpstr>
      <vt:lpstr>Huddle</vt:lpstr>
      <vt:lpstr>Generator</vt:lpstr>
      <vt:lpstr>Call Activity</vt:lpstr>
      <vt:lpstr>Agent Activity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Haughey, Simon</cp:lastModifiedBy>
  <cp:revision/>
  <dcterms:created xsi:type="dcterms:W3CDTF">2025-11-19T14:43:32Z</dcterms:created>
  <dcterms:modified xsi:type="dcterms:W3CDTF">2026-01-12T19:38:53Z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0x010100F1D687B043E6AE4FA8665F636C4CE74B</vt:lpwstr>
  </property>
</Properties>
</file>